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01_Launch" sheetId="2" state="visible" r:id="rId2"/>
    <sheet xmlns:r="http://schemas.openxmlformats.org/officeDocument/2006/relationships" name="F02_Connection" sheetId="3" state="visible" r:id="rId3"/>
    <sheet xmlns:r="http://schemas.openxmlformats.org/officeDocument/2006/relationships" name="F03_ModuleCreate" sheetId="4" state="visible" r:id="rId4"/>
    <sheet xmlns:r="http://schemas.openxmlformats.org/officeDocument/2006/relationships" name="F04_ModuleSettings" sheetId="5" state="visible" r:id="rId5"/>
    <sheet xmlns:r="http://schemas.openxmlformats.org/officeDocument/2006/relationships" name="F05_QueryEditor" sheetId="6" state="visible" r:id="rId6"/>
    <sheet xmlns:r="http://schemas.openxmlformats.org/officeDocument/2006/relationships" name="F06_ObjectExplorer" sheetId="7" state="visible" r:id="rId7"/>
    <sheet xmlns:r="http://schemas.openxmlformats.org/officeDocument/2006/relationships" name="F07_DataViewer" sheetId="8" state="visible" r:id="rId8"/>
    <sheet xmlns:r="http://schemas.openxmlformats.org/officeDocument/2006/relationships" name="F08_CSVImport" sheetId="9" state="visible" r:id="rId9"/>
    <sheet xmlns:r="http://schemas.openxmlformats.org/officeDocument/2006/relationships" name="F09_GlobalSearch" sheetId="10" state="visible" r:id="rId10"/>
    <sheet xmlns:r="http://schemas.openxmlformats.org/officeDocument/2006/relationships" name="F10_FakeData" sheetId="11" state="visible" r:id="rId11"/>
    <sheet xmlns:r="http://schemas.openxmlformats.org/officeDocument/2006/relationships" name="F11_SchemaCompare" sheetId="12" state="visible" r:id="rId12"/>
    <sheet xmlns:r="http://schemas.openxmlformats.org/officeDocument/2006/relationships" name="F12_QueryLog" sheetId="13" state="visible" r:id="rId13"/>
    <sheet xmlns:r="http://schemas.openxmlformats.org/officeDocument/2006/relationships" name="F13_SSH" sheetId="14" state="visible" r:id="rId14"/>
    <sheet xmlns:r="http://schemas.openxmlformats.org/officeDocument/2006/relationships" name="F14_ConnManager" sheetId="15" state="visible" r:id="rId15"/>
    <sheet xmlns:r="http://schemas.openxmlformats.org/officeDocument/2006/relationships" name="F15_Themes" sheetId="16" state="visible" r:id="rId16"/>
    <sheet xmlns:r="http://schemas.openxmlformats.org/officeDocument/2006/relationships" name="F16_Bookmarks" sheetId="17" state="visible" r:id="rId17"/>
    <sheet xmlns:r="http://schemas.openxmlformats.org/officeDocument/2006/relationships" name="F17_Charts" sheetId="18" state="visible" r:id="rId18"/>
    <sheet xmlns:r="http://schemas.openxmlformats.org/officeDocument/2006/relationships" name="F18_CellViewer" sheetId="19" state="visible" r:id="rId19"/>
    <sheet xmlns:r="http://schemas.openxmlformats.org/officeDocument/2006/relationships" name="F19_Health" sheetId="20" state="visible" r:id="rId20"/>
    <sheet xmlns:r="http://schemas.openxmlformats.org/officeDocument/2006/relationships" name="F20_Shortcut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E5B0"/>
      <sz val="18"/>
    </font>
    <font>
      <name val="Arial"/>
      <color rgb="008B949E"/>
      <sz val="10"/>
    </font>
    <font>
      <name val="Arial"/>
      <b val="1"/>
      <color rgb="00FFFFFF"/>
      <sz val="10"/>
    </font>
    <font>
      <name val="Arial"/>
      <color rgb="001A1F2E"/>
      <sz val="10"/>
    </font>
    <font>
      <name val="Arial"/>
      <b val="1"/>
      <color rgb="001A1F2E"/>
      <sz val="10"/>
    </font>
    <font>
      <name val="Arial"/>
      <color rgb="00059669"/>
      <sz val="10"/>
    </font>
    <font>
      <name val="Arial"/>
      <color rgb="00DC2626"/>
      <sz val="10"/>
    </font>
    <font>
      <name val="Arial"/>
      <color rgb="00D97706"/>
      <sz val="10"/>
    </font>
    <font>
      <name val="Arial"/>
      <b val="1"/>
      <color rgb="0000E5B0"/>
      <sz val="10"/>
    </font>
    <font>
      <name val="Arial"/>
      <b val="1"/>
      <color rgb="0000E5B0"/>
      <sz val="14"/>
    </font>
    <font>
      <name val="Arial"/>
      <color rgb="008B949E"/>
      <sz val="9"/>
    </font>
    <font>
      <name val="Arial"/>
      <color rgb="005C6370"/>
      <sz val="10"/>
    </font>
    <font>
      <name val="Arial"/>
      <b val="1"/>
      <color rgb="00D97706"/>
      <sz val="10"/>
    </font>
  </fonts>
  <fills count="7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1E293B"/>
        <bgColor rgb="001E293B"/>
      </patternFill>
    </fill>
    <fill>
      <patternFill patternType="solid">
        <fgColor rgb="00F5F7FA"/>
        <bgColor rgb="00F5F7FA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9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9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9" fontId="9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 indent="1"/>
    </xf>
    <xf numFmtId="0" fontId="11" fillId="2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3" customWidth="1" min="3" max="3"/>
    <col width="8" customWidth="1" min="4" max="4"/>
    <col width="8" customWidth="1" min="5" max="5"/>
    <col width="10" customWidth="1" min="6" max="6"/>
    <col width="13" customWidth="1" min="7" max="7"/>
    <col width="14" customWidth="1" min="8" max="8"/>
  </cols>
  <sheetData>
    <row r="1" ht="40" customHeight="1">
      <c r="A1" s="1" t="inlineStr">
        <is>
          <t>ONOBASE v1.0 — FEATURE TEST TRACKER</t>
        </is>
      </c>
    </row>
    <row r="2" ht="20" customHeight="1">
      <c r="A2" s="2" t="inlineStr">
        <is>
          <t>Obnet Pty Ltd © 2026  |  Mark each test ✅ PASS  ❌ FAIL  ⏳ PENDING</t>
        </is>
      </c>
    </row>
    <row r="3" ht="8" customHeight="1">
      <c r="A3" s="3" t="n"/>
    </row>
    <row r="4" ht="22" customHeight="1">
      <c r="A4" s="4" t="inlineStr">
        <is>
          <t>#</t>
        </is>
      </c>
      <c r="B4" s="4" t="inlineStr">
        <is>
          <t>Feature</t>
        </is>
      </c>
      <c r="C4" s="4" t="inlineStr">
        <is>
          <t>Total Tests</t>
        </is>
      </c>
      <c r="D4" s="4" t="inlineStr">
        <is>
          <t>Pass</t>
        </is>
      </c>
      <c r="E4" s="4" t="inlineStr">
        <is>
          <t>Fail</t>
        </is>
      </c>
      <c r="F4" s="4" t="inlineStr">
        <is>
          <t>Pending</t>
        </is>
      </c>
      <c r="G4" s="4" t="inlineStr">
        <is>
          <t>% Complete</t>
        </is>
      </c>
      <c r="H4" s="4" t="inlineStr">
        <is>
          <t>Status</t>
        </is>
      </c>
    </row>
    <row r="5" ht="18" customHeight="1">
      <c r="A5" s="5" t="n">
        <v>1</v>
      </c>
      <c r="B5" s="6" t="inlineStr">
        <is>
          <t>App Launch &amp; Canvas</t>
        </is>
      </c>
      <c r="C5" s="5" t="n">
        <v>8</v>
      </c>
      <c r="D5" s="7">
        <f>COUNTIF('F01_Launch'!D:D,"✅ PASS")</f>
        <v/>
      </c>
      <c r="E5" s="8">
        <f>COUNTIF('F01_Launch'!D:D,"❌ FAIL")</f>
        <v/>
      </c>
      <c r="F5" s="9">
        <f>COUNTIF('F01_Launch'!D:D,"⏳ PENDING")</f>
        <v/>
      </c>
      <c r="G5" s="10">
        <f>IF(C5=0,0,D5/C5)</f>
        <v/>
      </c>
      <c r="H5" s="11">
        <f>IF(E5&gt;0,"⚠ Has Failures",IF(D5=C5,"✅ Complete","⏳ In Progress"))</f>
        <v/>
      </c>
    </row>
    <row r="6" ht="18" customHeight="1">
      <c r="A6" s="12" t="n">
        <v>2</v>
      </c>
      <c r="B6" s="13" t="inlineStr">
        <is>
          <t>Database Connection</t>
        </is>
      </c>
      <c r="C6" s="12" t="n">
        <v>12</v>
      </c>
      <c r="D6" s="14">
        <f>COUNTIF('F02_Connection'!D:D,"✅ PASS")</f>
        <v/>
      </c>
      <c r="E6" s="15">
        <f>COUNTIF('F02_Connection'!D:D,"❌ FAIL")</f>
        <v/>
      </c>
      <c r="F6" s="16">
        <f>COUNTIF('F02_Connection'!D:D,"⏳ PENDING")</f>
        <v/>
      </c>
      <c r="G6" s="17">
        <f>IF(C6=0,0,D6/C6)</f>
        <v/>
      </c>
      <c r="H6" s="18">
        <f>IF(E6&gt;0,"⚠ Has Failures",IF(D6=C6,"✅ Complete","⏳ In Progress"))</f>
        <v/>
      </c>
    </row>
    <row r="7" ht="18" customHeight="1">
      <c r="A7" s="5" t="n">
        <v>3</v>
      </c>
      <c r="B7" s="6" t="inlineStr">
        <is>
          <t>Module Creation</t>
        </is>
      </c>
      <c r="C7" s="5" t="n">
        <v>12</v>
      </c>
      <c r="D7" s="7">
        <f>COUNTIF('F03_ModuleCreate'!D:D,"✅ PASS")</f>
        <v/>
      </c>
      <c r="E7" s="8">
        <f>COUNTIF('F03_ModuleCreate'!D:D,"❌ FAIL")</f>
        <v/>
      </c>
      <c r="F7" s="9">
        <f>COUNTIF('F03_ModuleCreate'!D:D,"⏳ PENDING")</f>
        <v/>
      </c>
      <c r="G7" s="10">
        <f>IF(C7=0,0,D7/C7)</f>
        <v/>
      </c>
      <c r="H7" s="11">
        <f>IF(E7&gt;0,"⚠ Has Failures",IF(D7=C7,"✅ Complete","⏳ In Progress"))</f>
        <v/>
      </c>
    </row>
    <row r="8" ht="18" customHeight="1">
      <c r="A8" s="12" t="n">
        <v>4</v>
      </c>
      <c r="B8" s="13" t="inlineStr">
        <is>
          <t>Module Right-Click Settings</t>
        </is>
      </c>
      <c r="C8" s="12" t="n">
        <v>9</v>
      </c>
      <c r="D8" s="14">
        <f>COUNTIF('F04_ModuleSettings'!D:D,"✅ PASS")</f>
        <v/>
      </c>
      <c r="E8" s="15">
        <f>COUNTIF('F04_ModuleSettings'!D:D,"❌ FAIL")</f>
        <v/>
      </c>
      <c r="F8" s="16">
        <f>COUNTIF('F04_ModuleSettings'!D:D,"⏳ PENDING")</f>
        <v/>
      </c>
      <c r="G8" s="17">
        <f>IF(C8=0,0,D8/C8)</f>
        <v/>
      </c>
      <c r="H8" s="18">
        <f>IF(E8&gt;0,"⚠ Has Failures",IF(D8=C8,"✅ Complete","⏳ In Progress"))</f>
        <v/>
      </c>
    </row>
    <row r="9" ht="18" customHeight="1">
      <c r="A9" s="5" t="n">
        <v>5</v>
      </c>
      <c r="B9" s="6" t="inlineStr">
        <is>
          <t>Query Editor</t>
        </is>
      </c>
      <c r="C9" s="5" t="n">
        <v>14</v>
      </c>
      <c r="D9" s="7">
        <f>COUNTIF('F05_QueryEditor'!D:D,"✅ PASS")</f>
        <v/>
      </c>
      <c r="E9" s="8">
        <f>COUNTIF('F05_QueryEditor'!D:D,"❌ FAIL")</f>
        <v/>
      </c>
      <c r="F9" s="9">
        <f>COUNTIF('F05_QueryEditor'!D:D,"⏳ PENDING")</f>
        <v/>
      </c>
      <c r="G9" s="10">
        <f>IF(C9=0,0,D9/C9)</f>
        <v/>
      </c>
      <c r="H9" s="11">
        <f>IF(E9&gt;0,"⚠ Has Failures",IF(D9=C9,"✅ Complete","⏳ In Progress"))</f>
        <v/>
      </c>
    </row>
    <row r="10" ht="18" customHeight="1">
      <c r="A10" s="12" t="n">
        <v>6</v>
      </c>
      <c r="B10" s="13" t="inlineStr">
        <is>
          <t>Object Explorer</t>
        </is>
      </c>
      <c r="C10" s="12" t="n">
        <v>8</v>
      </c>
      <c r="D10" s="14">
        <f>COUNTIF('F06_ObjectExplorer'!D:D,"✅ PASS")</f>
        <v/>
      </c>
      <c r="E10" s="15">
        <f>COUNTIF('F06_ObjectExplorer'!D:D,"❌ FAIL")</f>
        <v/>
      </c>
      <c r="F10" s="16">
        <f>COUNTIF('F06_ObjectExplorer'!D:D,"⏳ PENDING")</f>
        <v/>
      </c>
      <c r="G10" s="17">
        <f>IF(C10=0,0,D10/C10)</f>
        <v/>
      </c>
      <c r="H10" s="18">
        <f>IF(E10&gt;0,"⚠ Has Failures",IF(D10=C10,"✅ Complete","⏳ In Progress"))</f>
        <v/>
      </c>
    </row>
    <row r="11" ht="18" customHeight="1">
      <c r="A11" s="5" t="n">
        <v>7</v>
      </c>
      <c r="B11" s="6" t="inlineStr">
        <is>
          <t>Data Viewer</t>
        </is>
      </c>
      <c r="C11" s="5" t="n">
        <v>12</v>
      </c>
      <c r="D11" s="7">
        <f>COUNTIF('F07_DataViewer'!D:D,"✅ PASS")</f>
        <v/>
      </c>
      <c r="E11" s="8">
        <f>COUNTIF('F07_DataViewer'!D:D,"❌ FAIL")</f>
        <v/>
      </c>
      <c r="F11" s="9">
        <f>COUNTIF('F07_DataViewer'!D:D,"⏳ PENDING")</f>
        <v/>
      </c>
      <c r="G11" s="10">
        <f>IF(C11=0,0,D11/C11)</f>
        <v/>
      </c>
      <c r="H11" s="11">
        <f>IF(E11&gt;0,"⚠ Has Failures",IF(D11=C11,"✅ Complete","⏳ In Progress"))</f>
        <v/>
      </c>
    </row>
    <row r="12" ht="18" customHeight="1">
      <c r="A12" s="12" t="n">
        <v>8</v>
      </c>
      <c r="B12" s="13" t="inlineStr">
        <is>
          <t>CSV Import</t>
        </is>
      </c>
      <c r="C12" s="12" t="n">
        <v>8</v>
      </c>
      <c r="D12" s="14">
        <f>COUNTIF('F08_CSVImport'!D:D,"✅ PASS")</f>
        <v/>
      </c>
      <c r="E12" s="15">
        <f>COUNTIF('F08_CSVImport'!D:D,"❌ FAIL")</f>
        <v/>
      </c>
      <c r="F12" s="16">
        <f>COUNTIF('F08_CSVImport'!D:D,"⏳ PENDING")</f>
        <v/>
      </c>
      <c r="G12" s="17">
        <f>IF(C12=0,0,D12/C12)</f>
        <v/>
      </c>
      <c r="H12" s="18">
        <f>IF(E12&gt;0,"⚠ Has Failures",IF(D12=C12,"✅ Complete","⏳ In Progress"))</f>
        <v/>
      </c>
    </row>
    <row r="13" ht="18" customHeight="1">
      <c r="A13" s="5" t="n">
        <v>9</v>
      </c>
      <c r="B13" s="6" t="inlineStr">
        <is>
          <t>Global Search</t>
        </is>
      </c>
      <c r="C13" s="5" t="n">
        <v>8</v>
      </c>
      <c r="D13" s="7">
        <f>COUNTIF('F09_GlobalSearch'!D:D,"✅ PASS")</f>
        <v/>
      </c>
      <c r="E13" s="8">
        <f>COUNTIF('F09_GlobalSearch'!D:D,"❌ FAIL")</f>
        <v/>
      </c>
      <c r="F13" s="9">
        <f>COUNTIF('F09_GlobalSearch'!D:D,"⏳ PENDING")</f>
        <v/>
      </c>
      <c r="G13" s="10">
        <f>IF(C13=0,0,D13/C13)</f>
        <v/>
      </c>
      <c r="H13" s="11">
        <f>IF(E13&gt;0,"⚠ Has Failures",IF(D13=C13,"✅ Complete","⏳ In Progress"))</f>
        <v/>
      </c>
    </row>
    <row r="14" ht="18" customHeight="1">
      <c r="A14" s="12" t="n">
        <v>10</v>
      </c>
      <c r="B14" s="13" t="inlineStr">
        <is>
          <t>Fake Data Generator</t>
        </is>
      </c>
      <c r="C14" s="12" t="n">
        <v>8</v>
      </c>
      <c r="D14" s="14">
        <f>COUNTIF('F10_FakeData'!D:D,"✅ PASS")</f>
        <v/>
      </c>
      <c r="E14" s="15">
        <f>COUNTIF('F10_FakeData'!D:D,"❌ FAIL")</f>
        <v/>
      </c>
      <c r="F14" s="16">
        <f>COUNTIF('F10_FakeData'!D:D,"⏳ PENDING")</f>
        <v/>
      </c>
      <c r="G14" s="17">
        <f>IF(C14=0,0,D14/C14)</f>
        <v/>
      </c>
      <c r="H14" s="18">
        <f>IF(E14&gt;0,"⚠ Has Failures",IF(D14=C14,"✅ Complete","⏳ In Progress"))</f>
        <v/>
      </c>
    </row>
    <row r="15" ht="18" customHeight="1">
      <c r="A15" s="5" t="n">
        <v>11</v>
      </c>
      <c r="B15" s="6" t="inlineStr">
        <is>
          <t>Schema Comparison</t>
        </is>
      </c>
      <c r="C15" s="5" t="n">
        <v>9</v>
      </c>
      <c r="D15" s="7">
        <f>COUNTIF('F11_SchemaCompare'!D:D,"✅ PASS")</f>
        <v/>
      </c>
      <c r="E15" s="8">
        <f>COUNTIF('F11_SchemaCompare'!D:D,"❌ FAIL")</f>
        <v/>
      </c>
      <c r="F15" s="9">
        <f>COUNTIF('F11_SchemaCompare'!D:D,"⏳ PENDING")</f>
        <v/>
      </c>
      <c r="G15" s="10">
        <f>IF(C15=0,0,D15/C15)</f>
        <v/>
      </c>
      <c r="H15" s="11">
        <f>IF(E15&gt;0,"⚠ Has Failures",IF(D15=C15,"✅ Complete","⏳ In Progress"))</f>
        <v/>
      </c>
    </row>
    <row r="16" ht="18" customHeight="1">
      <c r="A16" s="12" t="n">
        <v>12</v>
      </c>
      <c r="B16" s="13" t="inlineStr">
        <is>
          <t>Query Log</t>
        </is>
      </c>
      <c r="C16" s="12" t="n">
        <v>9</v>
      </c>
      <c r="D16" s="14">
        <f>COUNTIF('F12_QueryLog'!D:D,"✅ PASS")</f>
        <v/>
      </c>
      <c r="E16" s="15">
        <f>COUNTIF('F12_QueryLog'!D:D,"❌ FAIL")</f>
        <v/>
      </c>
      <c r="F16" s="16">
        <f>COUNTIF('F12_QueryLog'!D:D,"⏳ PENDING")</f>
        <v/>
      </c>
      <c r="G16" s="17">
        <f>IF(C16=0,0,D16/C16)</f>
        <v/>
      </c>
      <c r="H16" s="18">
        <f>IF(E16&gt;0,"⚠ Has Failures",IF(D16=C16,"✅ Complete","⏳ In Progress"))</f>
        <v/>
      </c>
    </row>
    <row r="17" ht="18" customHeight="1">
      <c r="A17" s="5" t="n">
        <v>13</v>
      </c>
      <c r="B17" s="6" t="inlineStr">
        <is>
          <t>SSH Tunnel</t>
        </is>
      </c>
      <c r="C17" s="5" t="n">
        <v>7</v>
      </c>
      <c r="D17" s="7">
        <f>COUNTIF('F13_SSH'!D:D,"✅ PASS")</f>
        <v/>
      </c>
      <c r="E17" s="8">
        <f>COUNTIF('F13_SSH'!D:D,"❌ FAIL")</f>
        <v/>
      </c>
      <c r="F17" s="9">
        <f>COUNTIF('F13_SSH'!D:D,"⏳ PENDING")</f>
        <v/>
      </c>
      <c r="G17" s="10">
        <f>IF(C17=0,0,D17/C17)</f>
        <v/>
      </c>
      <c r="H17" s="11">
        <f>IF(E17&gt;0,"⚠ Has Failures",IF(D17=C17,"✅ Complete","⏳ In Progress"))</f>
        <v/>
      </c>
    </row>
    <row r="18" ht="18" customHeight="1">
      <c r="A18" s="12" t="n">
        <v>14</v>
      </c>
      <c r="B18" s="13" t="inlineStr">
        <is>
          <t>Connection Manager</t>
        </is>
      </c>
      <c r="C18" s="12" t="n">
        <v>8</v>
      </c>
      <c r="D18" s="14">
        <f>COUNTIF('F14_ConnManager'!D:D,"✅ PASS")</f>
        <v/>
      </c>
      <c r="E18" s="15">
        <f>COUNTIF('F14_ConnManager'!D:D,"❌ FAIL")</f>
        <v/>
      </c>
      <c r="F18" s="16">
        <f>COUNTIF('F14_ConnManager'!D:D,"⏳ PENDING")</f>
        <v/>
      </c>
      <c r="G18" s="17">
        <f>IF(C18=0,0,D18/C18)</f>
        <v/>
      </c>
      <c r="H18" s="18">
        <f>IF(E18&gt;0,"⚠ Has Failures",IF(D18=C18,"✅ Complete","⏳ In Progress"))</f>
        <v/>
      </c>
    </row>
    <row r="19" ht="18" customHeight="1">
      <c r="A19" s="5" t="n">
        <v>15</v>
      </c>
      <c r="B19" s="6" t="inlineStr">
        <is>
          <t>Themes</t>
        </is>
      </c>
      <c r="C19" s="5" t="n">
        <v>8</v>
      </c>
      <c r="D19" s="7">
        <f>COUNTIF('F15_Themes'!D:D,"✅ PASS")</f>
        <v/>
      </c>
      <c r="E19" s="8">
        <f>COUNTIF('F15_Themes'!D:D,"❌ FAIL")</f>
        <v/>
      </c>
      <c r="F19" s="9">
        <f>COUNTIF('F15_Themes'!D:D,"⏳ PENDING")</f>
        <v/>
      </c>
      <c r="G19" s="10">
        <f>IF(C19=0,0,D19/C19)</f>
        <v/>
      </c>
      <c r="H19" s="11">
        <f>IF(E19&gt;0,"⚠ Has Failures",IF(D19=C19,"✅ Complete","⏳ In Progress"))</f>
        <v/>
      </c>
    </row>
    <row r="20" ht="18" customHeight="1">
      <c r="A20" s="12" t="n">
        <v>16</v>
      </c>
      <c r="B20" s="13" t="inlineStr">
        <is>
          <t>Query Bookmarks</t>
        </is>
      </c>
      <c r="C20" s="12" t="n">
        <v>8</v>
      </c>
      <c r="D20" s="14">
        <f>COUNTIF('F16_Bookmarks'!D:D,"✅ PASS")</f>
        <v/>
      </c>
      <c r="E20" s="15">
        <f>COUNTIF('F16_Bookmarks'!D:D,"❌ FAIL")</f>
        <v/>
      </c>
      <c r="F20" s="16">
        <f>COUNTIF('F16_Bookmarks'!D:D,"⏳ PENDING")</f>
        <v/>
      </c>
      <c r="G20" s="17">
        <f>IF(C20=0,0,D20/C20)</f>
        <v/>
      </c>
      <c r="H20" s="18">
        <f>IF(E20&gt;0,"⚠ Has Failures",IF(D20=C20,"✅ Complete","⏳ In Progress"))</f>
        <v/>
      </c>
    </row>
    <row r="21" ht="18" customHeight="1">
      <c r="A21" s="5" t="n">
        <v>17</v>
      </c>
      <c r="B21" s="6" t="inlineStr">
        <is>
          <t>Result Charts</t>
        </is>
      </c>
      <c r="C21" s="5" t="n">
        <v>7</v>
      </c>
      <c r="D21" s="7">
        <f>COUNTIF('F17_Charts'!D:D,"✅ PASS")</f>
        <v/>
      </c>
      <c r="E21" s="8">
        <f>COUNTIF('F17_Charts'!D:D,"❌ FAIL")</f>
        <v/>
      </c>
      <c r="F21" s="9">
        <f>COUNTIF('F17_Charts'!D:D,"⏳ PENDING")</f>
        <v/>
      </c>
      <c r="G21" s="10">
        <f>IF(C21=0,0,D21/C21)</f>
        <v/>
      </c>
      <c r="H21" s="11">
        <f>IF(E21&gt;0,"⚠ Has Failures",IF(D21=C21,"✅ Complete","⏳ In Progress"))</f>
        <v/>
      </c>
    </row>
    <row r="22" ht="18" customHeight="1">
      <c r="A22" s="12" t="n">
        <v>18</v>
      </c>
      <c r="B22" s="13" t="inlineStr">
        <is>
          <t>Cell / JSON Viewer</t>
        </is>
      </c>
      <c r="C22" s="12" t="n">
        <v>6</v>
      </c>
      <c r="D22" s="14">
        <f>COUNTIF('F18_CellViewer'!D:D,"✅ PASS")</f>
        <v/>
      </c>
      <c r="E22" s="15">
        <f>COUNTIF('F18_CellViewer'!D:D,"❌ FAIL")</f>
        <v/>
      </c>
      <c r="F22" s="16">
        <f>COUNTIF('F18_CellViewer'!D:D,"⏳ PENDING")</f>
        <v/>
      </c>
      <c r="G22" s="17">
        <f>IF(C22=0,0,D22/C22)</f>
        <v/>
      </c>
      <c r="H22" s="18">
        <f>IF(E22&gt;0,"⚠ Has Failures",IF(D22=C22,"✅ Complete","⏳ In Progress"))</f>
        <v/>
      </c>
    </row>
    <row r="23" ht="18" customHeight="1">
      <c r="A23" s="5" t="n">
        <v>19</v>
      </c>
      <c r="B23" s="6" t="inlineStr">
        <is>
          <t>Health Dashboard</t>
        </is>
      </c>
      <c r="C23" s="5" t="n">
        <v>9</v>
      </c>
      <c r="D23" s="7">
        <f>COUNTIF('F19_Health'!D:D,"✅ PASS")</f>
        <v/>
      </c>
      <c r="E23" s="8">
        <f>COUNTIF('F19_Health'!D:D,"❌ FAIL")</f>
        <v/>
      </c>
      <c r="F23" s="9">
        <f>COUNTIF('F19_Health'!D:D,"⏳ PENDING")</f>
        <v/>
      </c>
      <c r="G23" s="10">
        <f>IF(C23=0,0,D23/C23)</f>
        <v/>
      </c>
      <c r="H23" s="11">
        <f>IF(E23&gt;0,"⚠ Has Failures",IF(D23=C23,"✅ Complete","⏳ In Progress"))</f>
        <v/>
      </c>
    </row>
    <row r="24" ht="18" customHeight="1">
      <c r="A24" s="12" t="n">
        <v>20</v>
      </c>
      <c r="B24" s="13" t="inlineStr">
        <is>
          <t>Keyboard Shortcuts</t>
        </is>
      </c>
      <c r="C24" s="12" t="n">
        <v>8</v>
      </c>
      <c r="D24" s="14">
        <f>COUNTIF('F20_Shortcuts'!D:D,"✅ PASS")</f>
        <v/>
      </c>
      <c r="E24" s="15">
        <f>COUNTIF('F20_Shortcuts'!D:D,"❌ FAIL")</f>
        <v/>
      </c>
      <c r="F24" s="16">
        <f>COUNTIF('F20_Shortcuts'!D:D,"⏳ PENDING")</f>
        <v/>
      </c>
      <c r="G24" s="17">
        <f>IF(C24=0,0,D24/C24)</f>
        <v/>
      </c>
      <c r="H24" s="18">
        <f>IF(E24&gt;0,"⚠ Has Failures",IF(D24=C24,"✅ Complete","⏳ In Progress"))</f>
        <v/>
      </c>
    </row>
    <row r="25" ht="20" customHeight="1">
      <c r="A25" s="4" t="inlineStr">
        <is>
          <t>TOTALS</t>
        </is>
      </c>
      <c r="C25" s="4" t="n">
        <v>178</v>
      </c>
      <c r="D25" s="19">
        <f>SUM(D5:D24)</f>
        <v/>
      </c>
      <c r="E25" s="19">
        <f>SUM(E5:E24)</f>
        <v/>
      </c>
      <c r="F25" s="19">
        <f>SUM(F5:F24)</f>
        <v/>
      </c>
      <c r="G25" s="20">
        <f>IF(C25=0,0,D25/C25)</f>
        <v/>
      </c>
      <c r="H25" s="21" t="inlineStr"/>
    </row>
  </sheetData>
  <mergeCells count="4">
    <mergeCell ref="A25:B25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14" customWidth="1" min="4" max="4"/>
    <col width="35" customWidth="1" min="5" max="5"/>
  </cols>
  <sheetData>
    <row r="1" ht="32" customHeight="1">
      <c r="A1" s="22" t="inlineStr">
        <is>
          <t>ONOBASE — Feature 1 — App Launch &amp; Canvas</t>
        </is>
      </c>
    </row>
    <row r="2" ht="16" customHeight="1">
      <c r="A2" s="23" t="inlineStr">
        <is>
          <t>Mark Result column: ✅ PASS  ❌ FAIL  ⏳ PENDING  |  Add notes in Notes column</t>
        </is>
      </c>
    </row>
    <row r="3" ht="6" customHeight="1">
      <c r="A3" s="3" t="n"/>
    </row>
    <row r="4" ht="20" customHeight="1">
      <c r="A4" s="4" t="inlineStr">
        <is>
          <t>#</t>
        </is>
      </c>
      <c r="B4" s="4" t="inlineStr">
        <is>
          <t>Test Description</t>
        </is>
      </c>
      <c r="C4" s="4" t="inlineStr">
        <is>
          <t>How to Test</t>
        </is>
      </c>
      <c r="D4" s="4" t="inlineStr">
        <is>
          <t>Result</t>
        </is>
      </c>
      <c r="E4" s="4" t="inlineStr">
        <is>
          <t>Notes / Bug Details</t>
        </is>
      </c>
    </row>
    <row r="5" ht="28" customHeight="1">
      <c r="A5" s="5" t="n">
        <v>1</v>
      </c>
      <c r="B5" s="24" t="inlineStr">
        <is>
          <t>App launches without blank screen</t>
        </is>
      </c>
      <c r="C5" s="25" t="inlineStr">
        <is>
          <t>Run npm run dev — window must show UI immediately</t>
        </is>
      </c>
      <c r="D5" s="26" t="inlineStr">
        <is>
          <t>⏳ PENDING</t>
        </is>
      </c>
      <c r="E5" s="25" t="inlineStr"/>
    </row>
    <row r="6" ht="28" customHeight="1">
      <c r="A6" s="12" t="n">
        <v>2</v>
      </c>
      <c r="B6" s="27" t="inlineStr">
        <is>
          <t>Canvas area visible with dark background</t>
        </is>
      </c>
      <c r="C6" s="28" t="inlineStr">
        <is>
          <t>Main canvas area shows dark #080C12 background</t>
        </is>
      </c>
      <c r="D6" s="26" t="inlineStr">
        <is>
          <t>⏳ PENDING</t>
        </is>
      </c>
      <c r="E6" s="28" t="inlineStr"/>
    </row>
    <row r="7" ht="28" customHeight="1">
      <c r="A7" s="5" t="n">
        <v>3</v>
      </c>
      <c r="B7" s="24" t="inlineStr">
        <is>
          <t>Tile/grid texture visible on canvas</t>
        </is>
      </c>
      <c r="C7" s="25" t="inlineStr">
        <is>
          <t>Subtle grid lines visible on canvas background</t>
        </is>
      </c>
      <c r="D7" s="26" t="inlineStr">
        <is>
          <t>⏳ PENDING</t>
        </is>
      </c>
      <c r="E7" s="25" t="inlineStr"/>
    </row>
    <row r="8" ht="28" customHeight="1">
      <c r="A8" s="12" t="n">
        <v>4</v>
      </c>
      <c r="B8" s="27" t="inlineStr">
        <is>
          <t>"Onobase" embossed watermark visible</t>
        </is>
      </c>
      <c r="C8" s="28" t="inlineStr">
        <is>
          <t>Faint "Onobase" text pressed into background — barely visible</t>
        </is>
      </c>
      <c r="D8" s="26" t="inlineStr">
        <is>
          <t>⏳ PENDING</t>
        </is>
      </c>
      <c r="E8" s="28" t="inlineStr"/>
    </row>
    <row r="9" ht="28" customHeight="1">
      <c r="A9" s="5" t="n">
        <v>5</v>
      </c>
      <c r="B9" s="24" t="inlineStr">
        <is>
          <t>Toolbar visible at top with all icon buttons</t>
        </is>
      </c>
      <c r="C9" s="25" t="inlineStr">
        <is>
          <t>All toolbar icons rendered, no broken icons</t>
        </is>
      </c>
      <c r="D9" s="26" t="inlineStr">
        <is>
          <t>⏳ PENDING</t>
        </is>
      </c>
      <c r="E9" s="25" t="inlineStr"/>
    </row>
    <row r="10" ht="28" customHeight="1">
      <c r="A10" s="12" t="n">
        <v>6</v>
      </c>
      <c r="B10" s="27" t="inlineStr">
        <is>
          <t>StatusBar visible at bottom</t>
        </is>
      </c>
      <c r="C10" s="28" t="inlineStr">
        <is>
          <t>Bottom status bar present showing connection state</t>
        </is>
      </c>
      <c r="D10" s="26" t="inlineStr">
        <is>
          <t>⏳ PENDING</t>
        </is>
      </c>
      <c r="E10" s="28" t="inlineStr"/>
    </row>
    <row r="11" ht="28" customHeight="1">
      <c r="A11" s="5" t="n">
        <v>7</v>
      </c>
      <c r="B11" s="24" t="inlineStr">
        <is>
          <t>No red errors in DevTools Console</t>
        </is>
      </c>
      <c r="C11" s="25" t="inlineStr">
        <is>
          <t>Press F12 → Console — zero red errors</t>
        </is>
      </c>
      <c r="D11" s="26" t="inlineStr">
        <is>
          <t>⏳ PENDING</t>
        </is>
      </c>
      <c r="E11" s="25" t="inlineStr"/>
    </row>
    <row r="12" ht="28" customHeight="1">
      <c r="A12" s="12" t="n">
        <v>8</v>
      </c>
      <c r="B12" s="27" t="inlineStr">
        <is>
          <t>Window title correct</t>
        </is>
      </c>
      <c r="C12" s="28" t="inlineStr">
        <is>
          <t>Title bar shows "Onobase — Universal Database IDE"</t>
        </is>
      </c>
      <c r="D12" s="26" t="inlineStr">
        <is>
          <t>⏳ PENDING</t>
        </is>
      </c>
      <c r="E12" s="28" t="inlineStr"/>
    </row>
    <row r="13" ht="20" customHeight="1">
      <c r="A13" s="4" t="inlineStr">
        <is>
          <t>SUMMARY</t>
        </is>
      </c>
      <c r="D13" s="29">
        <f>COUNTIF(D5:D12,"✅ PASS")&amp;" / "&amp;COUNTA(D5:D12)&amp;" passed"</f>
        <v/>
      </c>
      <c r="E13" s="21" t="inlineStr"/>
    </row>
  </sheetData>
  <mergeCells count="4">
    <mergeCell ref="A2:E2"/>
    <mergeCell ref="A1:E1"/>
    <mergeCell ref="A13:C13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14" customWidth="1" min="4" max="4"/>
    <col width="35" customWidth="1" min="5" max="5"/>
  </cols>
  <sheetData>
    <row r="1" ht="32" customHeight="1">
      <c r="A1" s="22" t="inlineStr">
        <is>
          <t>ONOBASE — Feature 2 — Database Connection</t>
        </is>
      </c>
    </row>
    <row r="2" ht="16" customHeight="1">
      <c r="A2" s="23" t="inlineStr">
        <is>
          <t>Mark Result column: ✅ PASS  ❌ FAIL  ⏳ PENDING  |  Add notes in Notes column</t>
        </is>
      </c>
    </row>
    <row r="3" ht="6" customHeight="1">
      <c r="A3" s="3" t="n"/>
    </row>
    <row r="4" ht="20" customHeight="1">
      <c r="A4" s="4" t="inlineStr">
        <is>
          <t>#</t>
        </is>
      </c>
      <c r="B4" s="4" t="inlineStr">
        <is>
          <t>Test Description</t>
        </is>
      </c>
      <c r="C4" s="4" t="inlineStr">
        <is>
          <t>How to Test</t>
        </is>
      </c>
      <c r="D4" s="4" t="inlineStr">
        <is>
          <t>Result</t>
        </is>
      </c>
      <c r="E4" s="4" t="inlineStr">
        <is>
          <t>Notes / Bug Details</t>
        </is>
      </c>
    </row>
    <row r="5" ht="28" customHeight="1">
      <c r="A5" s="5" t="n">
        <v>1</v>
      </c>
      <c r="B5" s="24" t="inlineStr">
        <is>
          <t>Connect button visible in toolbar</t>
        </is>
      </c>
      <c r="C5" s="25" t="inlineStr">
        <is>
          <t>Button present and clickable</t>
        </is>
      </c>
      <c r="D5" s="26" t="inlineStr">
        <is>
          <t>⏳ PENDING</t>
        </is>
      </c>
      <c r="E5" s="25" t="inlineStr"/>
    </row>
    <row r="6" ht="28" customHeight="1">
      <c r="A6" s="12" t="n">
        <v>2</v>
      </c>
      <c r="B6" s="27" t="inlineStr">
        <is>
          <t>ConnectDialog opens on click</t>
        </is>
      </c>
      <c r="C6" s="28" t="inlineStr">
        <is>
          <t>Modal appears with correct title</t>
        </is>
      </c>
      <c r="D6" s="26" t="inlineStr">
        <is>
          <t>⏳ PENDING</t>
        </is>
      </c>
      <c r="E6" s="28" t="inlineStr"/>
    </row>
    <row r="7" ht="28" customHeight="1">
      <c r="A7" s="5" t="n">
        <v>3</v>
      </c>
      <c r="B7" s="24" t="inlineStr">
        <is>
          <t>History tab shows previous connections</t>
        </is>
      </c>
      <c r="C7" s="25" t="inlineStr">
        <is>
          <t>Past connections listed with timestamp</t>
        </is>
      </c>
      <c r="D7" s="26" t="inlineStr">
        <is>
          <t>⏳ PENDING</t>
        </is>
      </c>
      <c r="E7" s="25" t="inlineStr"/>
    </row>
    <row r="8" ht="28" customHeight="1">
      <c r="A8" s="12" t="n">
        <v>4</v>
      </c>
      <c r="B8" s="27" t="inlineStr">
        <is>
          <t>Connection tab has DB type buttons</t>
        </is>
      </c>
      <c r="C8" s="28" t="inlineStr">
        <is>
          <t>PostgreSQL / MySQL / SQL Server / SQLite visible</t>
        </is>
      </c>
      <c r="D8" s="26" t="inlineStr">
        <is>
          <t>⏳ PENDING</t>
        </is>
      </c>
      <c r="E8" s="28" t="inlineStr"/>
    </row>
    <row r="9" ht="28" customHeight="1">
      <c r="A9" s="5" t="n">
        <v>5</v>
      </c>
      <c r="B9" s="24" t="inlineStr">
        <is>
          <t>Connection Properties tab has all fields</t>
        </is>
      </c>
      <c r="C9" s="25" t="inlineStr">
        <is>
          <t>Server Name, Port, Username, Password, Database Name</t>
        </is>
      </c>
      <c r="D9" s="26" t="inlineStr">
        <is>
          <t>⏳ PENDING</t>
        </is>
      </c>
      <c r="E9" s="25" t="inlineStr"/>
    </row>
    <row r="10" ht="28" customHeight="1">
      <c r="A10" s="12" t="n">
        <v>6</v>
      </c>
      <c r="B10" s="27" t="inlineStr">
        <is>
          <t>Connection String tab exists</t>
        </is>
      </c>
      <c r="C10" s="28" t="inlineStr">
        <is>
          <t>Can switch to connection string input</t>
        </is>
      </c>
      <c r="D10" s="26" t="inlineStr">
        <is>
          <t>⏳ PENDING</t>
        </is>
      </c>
      <c r="E10" s="28" t="inlineStr"/>
    </row>
    <row r="11" ht="28" customHeight="1">
      <c r="A11" s="5" t="n">
        <v>7</v>
      </c>
      <c r="B11" s="24" t="inlineStr">
        <is>
          <t>SSH Tunnel tab exists</t>
        </is>
      </c>
      <c r="C11" s="25" t="inlineStr">
        <is>
          <t>Third tab "SSH Tunnel" present</t>
        </is>
      </c>
      <c r="D11" s="26" t="inlineStr">
        <is>
          <t>⏳ PENDING</t>
        </is>
      </c>
      <c r="E11" s="25" t="inlineStr"/>
    </row>
    <row r="12" ht="28" customHeight="1">
      <c r="A12" s="12" t="n">
        <v>8</v>
      </c>
      <c r="B12" s="27" t="inlineStr">
        <is>
          <t>NO colour picker on connect dialog</t>
        </is>
      </c>
      <c r="C12" s="28" t="inlineStr">
        <is>
          <t>Colour swatches must NOT appear here</t>
        </is>
      </c>
      <c r="D12" s="26" t="inlineStr">
        <is>
          <t>⏳ PENDING</t>
        </is>
      </c>
      <c r="E12" s="28" t="inlineStr"/>
    </row>
    <row r="13" ht="28" customHeight="1">
      <c r="A13" s="5" t="n">
        <v>9</v>
      </c>
      <c r="B13" s="24" t="inlineStr">
        <is>
          <t>Connect with valid credentials succeeds</t>
        </is>
      </c>
      <c r="C13" s="25" t="inlineStr">
        <is>
          <t>Click Connect — no error, dialog closes</t>
        </is>
      </c>
      <c r="D13" s="26" t="inlineStr">
        <is>
          <t>⏳ PENDING</t>
        </is>
      </c>
      <c r="E13" s="25" t="inlineStr"/>
    </row>
    <row r="14" ht="28" customHeight="1">
      <c r="A14" s="12" t="n">
        <v>10</v>
      </c>
      <c r="B14" s="27" t="inlineStr">
        <is>
          <t>StatusBar updates with DB name</t>
        </is>
      </c>
      <c r="C14" s="28" t="inlineStr">
        <is>
          <t>Bottom bar shows connected database name</t>
        </is>
      </c>
      <c r="D14" s="26" t="inlineStr">
        <is>
          <t>⏳ PENDING</t>
        </is>
      </c>
      <c r="E14" s="28" t="inlineStr"/>
    </row>
    <row r="15" ht="28" customHeight="1">
      <c r="A15" s="5" t="n">
        <v>11</v>
      </c>
      <c r="B15" s="24" t="inlineStr">
        <is>
          <t>Wrong password shows error</t>
        </is>
      </c>
      <c r="C15" s="25" t="inlineStr">
        <is>
          <t>Incorrect credentials → error message in dialog</t>
        </is>
      </c>
      <c r="D15" s="26" t="inlineStr">
        <is>
          <t>⏳ PENDING</t>
        </is>
      </c>
      <c r="E15" s="25" t="inlineStr"/>
    </row>
    <row r="16" ht="28" customHeight="1">
      <c r="A16" s="12" t="n">
        <v>12</v>
      </c>
      <c r="B16" s="27" t="inlineStr">
        <is>
          <t>Cancel closes dialog</t>
        </is>
      </c>
      <c r="C16" s="28" t="inlineStr">
        <is>
          <t>Cancel button closes without connecting</t>
        </is>
      </c>
      <c r="D16" s="26" t="inlineStr">
        <is>
          <t>⏳ PENDING</t>
        </is>
      </c>
      <c r="E16" s="28" t="inlineStr"/>
    </row>
    <row r="17" ht="20" customHeight="1">
      <c r="A17" s="4" t="inlineStr">
        <is>
          <t>SUMMARY</t>
        </is>
      </c>
      <c r="D17" s="29">
        <f>COUNTIF(D5:D16,"✅ PASS")&amp;" / "&amp;COUNTA(D5:D16)&amp;" passed"</f>
        <v/>
      </c>
      <c r="E17" s="21" t="inlineStr"/>
    </row>
  </sheetData>
  <mergeCells count="4">
    <mergeCell ref="A2:E2"/>
    <mergeCell ref="A1:E1"/>
    <mergeCell ref="A17:C17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14" customWidth="1" min="4" max="4"/>
    <col width="35" customWidth="1" min="5" max="5"/>
  </cols>
  <sheetData>
    <row r="1" ht="32" customHeight="1">
      <c r="A1" s="22" t="inlineStr">
        <is>
          <t>ONOBASE — Feature 3 — Module Creation</t>
        </is>
      </c>
    </row>
    <row r="2" ht="16" customHeight="1">
      <c r="A2" s="23" t="inlineStr">
        <is>
          <t>Mark Result column: ✅ PASS  ❌ FAIL  ⏳ PENDING  |  Add notes in Notes column</t>
        </is>
      </c>
    </row>
    <row r="3" ht="6" customHeight="1">
      <c r="A3" s="3" t="n"/>
    </row>
    <row r="4" ht="20" customHeight="1">
      <c r="A4" s="4" t="inlineStr">
        <is>
          <t>#</t>
        </is>
      </c>
      <c r="B4" s="4" t="inlineStr">
        <is>
          <t>Test Description</t>
        </is>
      </c>
      <c r="C4" s="4" t="inlineStr">
        <is>
          <t>How to Test</t>
        </is>
      </c>
      <c r="D4" s="4" t="inlineStr">
        <is>
          <t>Result</t>
        </is>
      </c>
      <c r="E4" s="4" t="inlineStr">
        <is>
          <t>Notes / Bug Details</t>
        </is>
      </c>
    </row>
    <row r="5" ht="28" customHeight="1">
      <c r="A5" s="5" t="n">
        <v>1</v>
      </c>
      <c r="B5" s="24" t="inlineStr">
        <is>
          <t>New Module button in toolbar</t>
        </is>
      </c>
      <c r="C5" s="25" t="inlineStr">
        <is>
          <t>Button visible and clickable</t>
        </is>
      </c>
      <c r="D5" s="26" t="inlineStr">
        <is>
          <t>⏳ PENDING</t>
        </is>
      </c>
      <c r="E5" s="25" t="inlineStr"/>
    </row>
    <row r="6" ht="28" customHeight="1">
      <c r="A6" s="12" t="n">
        <v>2</v>
      </c>
      <c r="B6" s="27" t="inlineStr">
        <is>
          <t>ModuleNameDialog opens on click</t>
        </is>
      </c>
      <c r="C6" s="28" t="inlineStr">
        <is>
          <t>Dialog appears — not a module created directly</t>
        </is>
      </c>
      <c r="D6" s="26" t="inlineStr">
        <is>
          <t>⏳ PENDING</t>
        </is>
      </c>
      <c r="E6" s="28" t="inlineStr"/>
    </row>
    <row r="7" ht="28" customHeight="1">
      <c r="A7" s="5" t="n">
        <v>3</v>
      </c>
      <c r="B7" s="24" t="inlineStr">
        <is>
          <t>Name input is autofocused</t>
        </is>
      </c>
      <c r="C7" s="25" t="inlineStr">
        <is>
          <t>Cursor is in name field immediately</t>
        </is>
      </c>
      <c r="D7" s="26" t="inlineStr">
        <is>
          <t>⏳ PENDING</t>
        </is>
      </c>
      <c r="E7" s="25" t="inlineStr"/>
    </row>
    <row r="8" ht="28" customHeight="1">
      <c r="A8" s="12" t="n">
        <v>4</v>
      </c>
      <c r="B8" s="27" t="inlineStr">
        <is>
          <t>40 colour swatches visible</t>
        </is>
      </c>
      <c r="C8" s="28" t="inlineStr">
        <is>
          <t>Grid of 40 colours in 10×4 layout</t>
        </is>
      </c>
      <c r="D8" s="26" t="inlineStr">
        <is>
          <t>⏳ PENDING</t>
        </is>
      </c>
      <c r="E8" s="28" t="inlineStr"/>
    </row>
    <row r="9" ht="28" customHeight="1">
      <c r="A9" s="5" t="n">
        <v>5</v>
      </c>
      <c r="B9" s="24" t="inlineStr">
        <is>
          <t>Clicking swatch selects it</t>
        </is>
      </c>
      <c r="C9" s="25" t="inlineStr">
        <is>
          <t>White ring/border appears on selected swatch</t>
        </is>
      </c>
      <c r="D9" s="26" t="inlineStr">
        <is>
          <t>⏳ PENDING</t>
        </is>
      </c>
      <c r="E9" s="25" t="inlineStr"/>
    </row>
    <row r="10" ht="28" customHeight="1">
      <c r="A10" s="12" t="n">
        <v>6</v>
      </c>
      <c r="B10" s="27" t="inlineStr">
        <is>
          <t>Custom colour wheel picker present</t>
        </is>
      </c>
      <c r="C10" s="28" t="inlineStr">
        <is>
          <t>Native colour picker input visible</t>
        </is>
      </c>
      <c r="D10" s="26" t="inlineStr">
        <is>
          <t>⏳ PENDING</t>
        </is>
      </c>
      <c r="E10" s="28" t="inlineStr"/>
    </row>
    <row r="11" ht="28" customHeight="1">
      <c r="A11" s="5" t="n">
        <v>7</v>
      </c>
      <c r="B11" s="24" t="inlineStr">
        <is>
          <t>Hex input accepts custom colour</t>
        </is>
      </c>
      <c r="C11" s="25" t="inlineStr">
        <is>
          <t>Type #FF5500 → colour updates</t>
        </is>
      </c>
      <c r="D11" s="26" t="inlineStr">
        <is>
          <t>⏳ PENDING</t>
        </is>
      </c>
      <c r="E11" s="25" t="inlineStr"/>
    </row>
    <row r="12" ht="28" customHeight="1">
      <c r="A12" s="12" t="n">
        <v>8</v>
      </c>
      <c r="B12" s="27" t="inlineStr">
        <is>
          <t>Colour preview swatch updates live</t>
        </is>
      </c>
      <c r="C12" s="28" t="inlineStr">
        <is>
          <t>Preview circle updates as hex is typed</t>
        </is>
      </c>
      <c r="D12" s="26" t="inlineStr">
        <is>
          <t>⏳ PENDING</t>
        </is>
      </c>
      <c r="E12" s="28" t="inlineStr"/>
    </row>
    <row r="13" ht="28" customHeight="1">
      <c r="A13" s="5" t="n">
        <v>9</v>
      </c>
      <c r="B13" s="24" t="inlineStr">
        <is>
          <t>Empty name → error shown</t>
        </is>
      </c>
      <c r="C13" s="25" t="inlineStr">
        <is>
          <t>Red error text: name cannot be empty</t>
        </is>
      </c>
      <c r="D13" s="26" t="inlineStr">
        <is>
          <t>⏳ PENDING</t>
        </is>
      </c>
      <c r="E13" s="25" t="inlineStr"/>
    </row>
    <row r="14" ht="28" customHeight="1">
      <c r="A14" s="12" t="n">
        <v>10</v>
      </c>
      <c r="B14" s="27" t="inlineStr">
        <is>
          <t>Duplicate name → blocked</t>
        </is>
      </c>
      <c r="C14" s="28" t="inlineStr">
        <is>
          <t>Red error when name matches existing module</t>
        </is>
      </c>
      <c r="D14" s="26" t="inlineStr">
        <is>
          <t>⏳ PENDING</t>
        </is>
      </c>
      <c r="E14" s="28" t="inlineStr"/>
    </row>
    <row r="15" ht="28" customHeight="1">
      <c r="A15" s="5" t="n">
        <v>11</v>
      </c>
      <c r="B15" s="24" t="inlineStr">
        <is>
          <t>Duplicate colour → blocked</t>
        </is>
      </c>
      <c r="C15" s="25" t="inlineStr">
        <is>
          <t>Red error when colour matches existing module</t>
        </is>
      </c>
      <c r="D15" s="26" t="inlineStr">
        <is>
          <t>⏳ PENDING</t>
        </is>
      </c>
      <c r="E15" s="25" t="inlineStr"/>
    </row>
    <row r="16" ht="28" customHeight="1">
      <c r="A16" s="12" t="n">
        <v>12</v>
      </c>
      <c r="B16" s="27" t="inlineStr">
        <is>
          <t>Valid input → module on canvas</t>
        </is>
      </c>
      <c r="C16" s="28" t="inlineStr">
        <is>
          <t>Module appears on canvas with correct name and colour</t>
        </is>
      </c>
      <c r="D16" s="26" t="inlineStr">
        <is>
          <t>⏳ PENDING</t>
        </is>
      </c>
      <c r="E16" s="28" t="inlineStr"/>
    </row>
    <row r="17" ht="20" customHeight="1">
      <c r="A17" s="4" t="inlineStr">
        <is>
          <t>SUMMARY</t>
        </is>
      </c>
      <c r="D17" s="29">
        <f>COUNTIF(D5:D16,"✅ PASS")&amp;" / "&amp;COUNTA(D5:D16)&amp;" passed"</f>
        <v/>
      </c>
      <c r="E17" s="21" t="inlineStr"/>
    </row>
  </sheetData>
  <mergeCells count="4">
    <mergeCell ref="A2:E2"/>
    <mergeCell ref="A1:E1"/>
    <mergeCell ref="A17:C17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14" customWidth="1" min="4" max="4"/>
    <col width="35" customWidth="1" min="5" max="5"/>
  </cols>
  <sheetData>
    <row r="1" ht="32" customHeight="1">
      <c r="A1" s="22" t="inlineStr">
        <is>
          <t>ONOBASE — Feature 4 — Module Right-Click Settings</t>
        </is>
      </c>
    </row>
    <row r="2" ht="16" customHeight="1">
      <c r="A2" s="23" t="inlineStr">
        <is>
          <t>Mark Result column: ✅ PASS  ❌ FAIL  ⏳ PENDING  |  Add notes in Notes column</t>
        </is>
      </c>
    </row>
    <row r="3" ht="6" customHeight="1">
      <c r="A3" s="3" t="n"/>
    </row>
    <row r="4" ht="20" customHeight="1">
      <c r="A4" s="4" t="inlineStr">
        <is>
          <t>#</t>
        </is>
      </c>
      <c r="B4" s="4" t="inlineStr">
        <is>
          <t>Test Description</t>
        </is>
      </c>
      <c r="C4" s="4" t="inlineStr">
        <is>
          <t>How to Test</t>
        </is>
      </c>
      <c r="D4" s="4" t="inlineStr">
        <is>
          <t>Result</t>
        </is>
      </c>
      <c r="E4" s="4" t="inlineStr">
        <is>
          <t>Notes / Bug Details</t>
        </is>
      </c>
    </row>
    <row r="5" ht="28" customHeight="1">
      <c r="A5" s="5" t="n">
        <v>1</v>
      </c>
      <c r="B5" s="24" t="inlineStr">
        <is>
          <t>Right-click module → context menu appears</t>
        </is>
      </c>
      <c r="C5" s="25" t="inlineStr">
        <is>
          <t>Small menu pops up at cursor position</t>
        </is>
      </c>
      <c r="D5" s="26" t="inlineStr">
        <is>
          <t>⏳ PENDING</t>
        </is>
      </c>
      <c r="E5" s="25" t="inlineStr"/>
    </row>
    <row r="6" ht="28" customHeight="1">
      <c r="A6" s="12" t="n">
        <v>2</v>
      </c>
      <c r="B6" s="27" t="inlineStr">
        <is>
          <t>Context menu has ⚙ Settings item</t>
        </is>
      </c>
      <c r="C6" s="28" t="inlineStr">
        <is>
          <t>Settings option visible in menu</t>
        </is>
      </c>
      <c r="D6" s="26" t="inlineStr">
        <is>
          <t>⏳ PENDING</t>
        </is>
      </c>
      <c r="E6" s="28" t="inlineStr"/>
    </row>
    <row r="7" ht="28" customHeight="1">
      <c r="A7" s="5" t="n">
        <v>3</v>
      </c>
      <c r="B7" s="24" t="inlineStr">
        <is>
          <t>Click Settings → dialog opens in edit mode</t>
        </is>
      </c>
      <c r="C7" s="25" t="inlineStr">
        <is>
          <t>Dialog title shows "Module Settings" not "New Module"</t>
        </is>
      </c>
      <c r="D7" s="26" t="inlineStr">
        <is>
          <t>⏳ PENDING</t>
        </is>
      </c>
      <c r="E7" s="25" t="inlineStr"/>
    </row>
    <row r="8" ht="28" customHeight="1">
      <c r="A8" s="12" t="n">
        <v>4</v>
      </c>
      <c r="B8" s="27" t="inlineStr">
        <is>
          <t>Dialog pre-filled with current name</t>
        </is>
      </c>
      <c r="C8" s="28" t="inlineStr">
        <is>
          <t>Existing name shown in input field</t>
        </is>
      </c>
      <c r="D8" s="26" t="inlineStr">
        <is>
          <t>⏳ PENDING</t>
        </is>
      </c>
      <c r="E8" s="28" t="inlineStr"/>
    </row>
    <row r="9" ht="28" customHeight="1">
      <c r="A9" s="5" t="n">
        <v>5</v>
      </c>
      <c r="B9" s="24" t="inlineStr">
        <is>
          <t>Dialog pre-filled with current colour</t>
        </is>
      </c>
      <c r="C9" s="25" t="inlineStr">
        <is>
          <t>Current colour swatch highlighted</t>
        </is>
      </c>
      <c r="D9" s="26" t="inlineStr">
        <is>
          <t>⏳ PENDING</t>
        </is>
      </c>
      <c r="E9" s="25" t="inlineStr"/>
    </row>
    <row r="10" ht="28" customHeight="1">
      <c r="A10" s="12" t="n">
        <v>6</v>
      </c>
      <c r="B10" s="27" t="inlineStr">
        <is>
          <t>Duplicate name validation works in edit mode</t>
        </is>
      </c>
      <c r="C10" s="28" t="inlineStr">
        <is>
          <t>Cannot save with another module's name</t>
        </is>
      </c>
      <c r="D10" s="26" t="inlineStr">
        <is>
          <t>⏳ PENDING</t>
        </is>
      </c>
      <c r="E10" s="28" t="inlineStr"/>
    </row>
    <row r="11" ht="28" customHeight="1">
      <c r="A11" s="5" t="n">
        <v>7</v>
      </c>
      <c r="B11" s="24" t="inlineStr">
        <is>
          <t>Duplicate colour validation works in edit mode</t>
        </is>
      </c>
      <c r="C11" s="25" t="inlineStr">
        <is>
          <t>Cannot save with another module's colour</t>
        </is>
      </c>
      <c r="D11" s="26" t="inlineStr">
        <is>
          <t>⏳ PENDING</t>
        </is>
      </c>
      <c r="E11" s="25" t="inlineStr"/>
    </row>
    <row r="12" ht="28" customHeight="1">
      <c r="A12" s="12" t="n">
        <v>8</v>
      </c>
      <c r="B12" s="27" t="inlineStr">
        <is>
          <t>Save → module updates on canvas</t>
        </is>
      </c>
      <c r="C12" s="28" t="inlineStr">
        <is>
          <t>Canvas reflects new name and/or colour</t>
        </is>
      </c>
      <c r="D12" s="26" t="inlineStr">
        <is>
          <t>⏳ PENDING</t>
        </is>
      </c>
      <c r="E12" s="28" t="inlineStr"/>
    </row>
    <row r="13" ht="28" customHeight="1">
      <c r="A13" s="5" t="n">
        <v>9</v>
      </c>
      <c r="B13" s="24" t="inlineStr">
        <is>
          <t>Click outside menu → menu closes</t>
        </is>
      </c>
      <c r="C13" s="25" t="inlineStr">
        <is>
          <t>Clicking canvas dismisses context menu</t>
        </is>
      </c>
      <c r="D13" s="26" t="inlineStr">
        <is>
          <t>⏳ PENDING</t>
        </is>
      </c>
      <c r="E13" s="25" t="inlineStr"/>
    </row>
    <row r="14" ht="20" customHeight="1">
      <c r="A14" s="4" t="inlineStr">
        <is>
          <t>SUMMARY</t>
        </is>
      </c>
      <c r="D14" s="29">
        <f>COUNTIF(D5:D13,"✅ PASS")&amp;" / "&amp;COUNTA(D5:D13)&amp;" passed"</f>
        <v/>
      </c>
      <c r="E14" s="21" t="inlineStr"/>
    </row>
  </sheetData>
  <mergeCells count="4">
    <mergeCell ref="A2:E2"/>
    <mergeCell ref="A1:E1"/>
    <mergeCell ref="A14:C14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14" customWidth="1" min="4" max="4"/>
    <col width="35" customWidth="1" min="5" max="5"/>
  </cols>
  <sheetData>
    <row r="1" ht="32" customHeight="1">
      <c r="A1" s="22" t="inlineStr">
        <is>
          <t>ONOBASE — Feature 5 — Query Editor</t>
        </is>
      </c>
    </row>
    <row r="2" ht="16" customHeight="1">
      <c r="A2" s="23" t="inlineStr">
        <is>
          <t>Mark Result column: ✅ PASS  ❌ FAIL  ⏳ PENDING  |  Add notes in Notes column</t>
        </is>
      </c>
    </row>
    <row r="3" ht="6" customHeight="1">
      <c r="A3" s="3" t="n"/>
    </row>
    <row r="4" ht="20" customHeight="1">
      <c r="A4" s="4" t="inlineStr">
        <is>
          <t>#</t>
        </is>
      </c>
      <c r="B4" s="4" t="inlineStr">
        <is>
          <t>Test Description</t>
        </is>
      </c>
      <c r="C4" s="4" t="inlineStr">
        <is>
          <t>How to Test</t>
        </is>
      </c>
      <c r="D4" s="4" t="inlineStr">
        <is>
          <t>Result</t>
        </is>
      </c>
      <c r="E4" s="4" t="inlineStr">
        <is>
          <t>Notes / Bug Details</t>
        </is>
      </c>
    </row>
    <row r="5" ht="28" customHeight="1">
      <c r="A5" s="5" t="n">
        <v>1</v>
      </c>
      <c r="B5" s="24" t="inlineStr">
        <is>
          <t>Query editor tab opens</t>
        </is>
      </c>
      <c r="C5" s="25" t="inlineStr">
        <is>
          <t>New tab with Monaco editor appears</t>
        </is>
      </c>
      <c r="D5" s="26" t="inlineStr">
        <is>
          <t>⏳ PENDING</t>
        </is>
      </c>
      <c r="E5" s="25" t="inlineStr"/>
    </row>
    <row r="6" ht="28" customHeight="1">
      <c r="A6" s="12" t="n">
        <v>2</v>
      </c>
      <c r="B6" s="27" t="inlineStr">
        <is>
          <t>Monaco editor renders</t>
        </is>
      </c>
      <c r="C6" s="28" t="inlineStr">
        <is>
          <t>Code editor visible — not blank area</t>
        </is>
      </c>
      <c r="D6" s="26" t="inlineStr">
        <is>
          <t>⏳ PENDING</t>
        </is>
      </c>
      <c r="E6" s="28" t="inlineStr"/>
    </row>
    <row r="7" ht="28" customHeight="1">
      <c r="A7" s="5" t="n">
        <v>3</v>
      </c>
      <c r="B7" s="24" t="inlineStr">
        <is>
          <t>SQL syntax highlighting works</t>
        </is>
      </c>
      <c r="C7" s="25" t="inlineStr">
        <is>
          <t>Keywords coloured correctly</t>
        </is>
      </c>
      <c r="D7" s="26" t="inlineStr">
        <is>
          <t>⏳ PENDING</t>
        </is>
      </c>
      <c r="E7" s="25" t="inlineStr"/>
    </row>
    <row r="8" ht="28" customHeight="1">
      <c r="A8" s="12" t="n">
        <v>4</v>
      </c>
      <c r="B8" s="27" t="inlineStr">
        <is>
          <t>Can type SQL</t>
        </is>
      </c>
      <c r="C8" s="28" t="inlineStr">
        <is>
          <t>Text input works in editor</t>
        </is>
      </c>
      <c r="D8" s="26" t="inlineStr">
        <is>
          <t>⏳ PENDING</t>
        </is>
      </c>
      <c r="E8" s="28" t="inlineStr"/>
    </row>
    <row r="9" ht="28" customHeight="1">
      <c r="A9" s="5" t="n">
        <v>5</v>
      </c>
      <c r="B9" s="24" t="inlineStr">
        <is>
          <t>Ctrl+Enter runs query</t>
        </is>
      </c>
      <c r="C9" s="25" t="inlineStr">
        <is>
          <t>Results appear below</t>
        </is>
      </c>
      <c r="D9" s="26" t="inlineStr">
        <is>
          <t>⏳ PENDING</t>
        </is>
      </c>
      <c r="E9" s="25" t="inlineStr"/>
    </row>
    <row r="10" ht="28" customHeight="1">
      <c r="A10" s="12" t="n">
        <v>6</v>
      </c>
      <c r="B10" s="27" t="inlineStr">
        <is>
          <t>F5 also runs query</t>
        </is>
      </c>
      <c r="C10" s="28" t="inlineStr">
        <is>
          <t>Alternative shortcut works</t>
        </is>
      </c>
      <c r="D10" s="26" t="inlineStr">
        <is>
          <t>⏳ PENDING</t>
        </is>
      </c>
      <c r="E10" s="28" t="inlineStr"/>
    </row>
    <row r="11" ht="28" customHeight="1">
      <c r="A11" s="5" t="n">
        <v>7</v>
      </c>
      <c r="B11" s="24" t="inlineStr">
        <is>
          <t>Results grid appears after query</t>
        </is>
      </c>
      <c r="C11" s="25" t="inlineStr">
        <is>
          <t>Data table renders with columns and rows</t>
        </is>
      </c>
      <c r="D11" s="26" t="inlineStr">
        <is>
          <t>⏳ PENDING</t>
        </is>
      </c>
      <c r="E11" s="25" t="inlineStr"/>
    </row>
    <row r="12" ht="28" customHeight="1">
      <c r="A12" s="12" t="n">
        <v>8</v>
      </c>
      <c r="B12" s="27" t="inlineStr">
        <is>
          <t>Row limit shows in toolbar</t>
        </is>
      </c>
      <c r="C12" s="28" t="inlineStr">
        <is>
          <t>Current row limit visible</t>
        </is>
      </c>
      <c r="D12" s="26" t="inlineStr">
        <is>
          <t>⏳ PENDING</t>
        </is>
      </c>
      <c r="E12" s="28" t="inlineStr"/>
    </row>
    <row r="13" ht="28" customHeight="1">
      <c r="A13" s="5" t="n">
        <v>9</v>
      </c>
      <c r="B13" s="24" t="inlineStr">
        <is>
          <t>Warning bar for dangerous SQL</t>
        </is>
      </c>
      <c r="C13" s="25" t="inlineStr">
        <is>
          <t>Type DELETE FROM x — warning bar appears BEFORE clicking run</t>
        </is>
      </c>
      <c r="D13" s="26" t="inlineStr">
        <is>
          <t>⏳ PENDING</t>
        </is>
      </c>
      <c r="E13" s="25" t="inlineStr"/>
    </row>
    <row r="14" ht="28" customHeight="1">
      <c r="A14" s="12" t="n">
        <v>10</v>
      </c>
      <c r="B14" s="27" t="inlineStr">
        <is>
          <t>DELETE without WHERE → blocked</t>
        </is>
      </c>
      <c r="C14" s="28" t="inlineStr">
        <is>
          <t>Dialog appears, must confirm with checkbox</t>
        </is>
      </c>
      <c r="D14" s="26" t="inlineStr">
        <is>
          <t>⏳ PENDING</t>
        </is>
      </c>
      <c r="E14" s="28" t="inlineStr"/>
    </row>
    <row r="15" ht="28" customHeight="1">
      <c r="A15" s="5" t="n">
        <v>11</v>
      </c>
      <c r="B15" s="24" t="inlineStr">
        <is>
          <t>UPDATE without WHERE → blocked</t>
        </is>
      </c>
      <c r="C15" s="25" t="inlineStr">
        <is>
          <t>Dialog appears, must confirm with checkbox</t>
        </is>
      </c>
      <c r="D15" s="26" t="inlineStr">
        <is>
          <t>⏳ PENDING</t>
        </is>
      </c>
      <c r="E15" s="25" t="inlineStr"/>
    </row>
    <row r="16" ht="28" customHeight="1">
      <c r="A16" s="12" t="n">
        <v>12</v>
      </c>
      <c r="B16" s="27" t="inlineStr">
        <is>
          <t>DROP TABLE → blocked</t>
        </is>
      </c>
      <c r="C16" s="28" t="inlineStr">
        <is>
          <t>Catastrophic warning dialog</t>
        </is>
      </c>
      <c r="D16" s="26" t="inlineStr">
        <is>
          <t>⏳ PENDING</t>
        </is>
      </c>
      <c r="E16" s="28" t="inlineStr"/>
    </row>
    <row r="17" ht="28" customHeight="1">
      <c r="A17" s="5" t="n">
        <v>13</v>
      </c>
      <c r="B17" s="24" t="inlineStr">
        <is>
          <t>SELECT without LIMIT → warning</t>
        </is>
      </c>
      <c r="C17" s="25" t="inlineStr">
        <is>
          <t>Warning shown, auto-fix button adds LIMIT 5000</t>
        </is>
      </c>
      <c r="D17" s="26" t="inlineStr">
        <is>
          <t>⏳ PENDING</t>
        </is>
      </c>
      <c r="E17" s="25" t="inlineStr"/>
    </row>
    <row r="18" ht="28" customHeight="1">
      <c r="A18" s="12" t="n">
        <v>14</v>
      </c>
      <c r="B18" s="27" t="inlineStr">
        <is>
          <t>Safe query runs immediately</t>
        </is>
      </c>
      <c r="C18" s="28" t="inlineStr">
        <is>
          <t>SELECT id FROM users LIMIT 10 — no dialog, runs instantly</t>
        </is>
      </c>
      <c r="D18" s="26" t="inlineStr">
        <is>
          <t>⏳ PENDING</t>
        </is>
      </c>
      <c r="E18" s="28" t="inlineStr"/>
    </row>
    <row r="19" ht="20" customHeight="1">
      <c r="A19" s="4" t="inlineStr">
        <is>
          <t>SUMMARY</t>
        </is>
      </c>
      <c r="D19" s="29">
        <f>COUNTIF(D5:D18,"✅ PASS")&amp;" / "&amp;COUNTA(D5:D18)&amp;" passed"</f>
        <v/>
      </c>
      <c r="E19" s="21" t="inlineStr"/>
    </row>
  </sheetData>
  <mergeCells count="4">
    <mergeCell ref="A2:E2"/>
    <mergeCell ref="A1:E1"/>
    <mergeCell ref="A19:C19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14" customWidth="1" min="4" max="4"/>
    <col width="35" customWidth="1" min="5" max="5"/>
  </cols>
  <sheetData>
    <row r="1" ht="32" customHeight="1">
      <c r="A1" s="22" t="inlineStr">
        <is>
          <t>ONOBASE — Feature 6 — Object Explorer</t>
        </is>
      </c>
    </row>
    <row r="2" ht="16" customHeight="1">
      <c r="A2" s="23" t="inlineStr">
        <is>
          <t>Mark Result column: ✅ PASS  ❌ FAIL  ⏳ PENDING  |  Add notes in Notes column</t>
        </is>
      </c>
    </row>
    <row r="3" ht="6" customHeight="1">
      <c r="A3" s="3" t="n"/>
    </row>
    <row r="4" ht="20" customHeight="1">
      <c r="A4" s="4" t="inlineStr">
        <is>
          <t>#</t>
        </is>
      </c>
      <c r="B4" s="4" t="inlineStr">
        <is>
          <t>Test Description</t>
        </is>
      </c>
      <c r="C4" s="4" t="inlineStr">
        <is>
          <t>How to Test</t>
        </is>
      </c>
      <c r="D4" s="4" t="inlineStr">
        <is>
          <t>Result</t>
        </is>
      </c>
      <c r="E4" s="4" t="inlineStr">
        <is>
          <t>Notes / Bug Details</t>
        </is>
      </c>
    </row>
    <row r="5" ht="28" customHeight="1">
      <c r="A5" s="5" t="n">
        <v>1</v>
      </c>
      <c r="B5" s="24" t="inlineStr">
        <is>
          <t>Object Explorer panel visible when connected</t>
        </is>
      </c>
      <c r="C5" s="25" t="inlineStr">
        <is>
          <t>Left panel shows after connecting</t>
        </is>
      </c>
      <c r="D5" s="26" t="inlineStr">
        <is>
          <t>⏳ PENDING</t>
        </is>
      </c>
      <c r="E5" s="25" t="inlineStr"/>
    </row>
    <row r="6" ht="28" customHeight="1">
      <c r="A6" s="12" t="n">
        <v>2</v>
      </c>
      <c r="B6" s="27" t="inlineStr">
        <is>
          <t>Schemas listed in tree</t>
        </is>
      </c>
      <c r="C6" s="28" t="inlineStr">
        <is>
          <t>Expand shows schema names</t>
        </is>
      </c>
      <c r="D6" s="26" t="inlineStr">
        <is>
          <t>⏳ PENDING</t>
        </is>
      </c>
      <c r="E6" s="28" t="inlineStr"/>
    </row>
    <row r="7" ht="28" customHeight="1">
      <c r="A7" s="5" t="n">
        <v>3</v>
      </c>
      <c r="B7" s="24" t="inlineStr">
        <is>
          <t>Tables listed under schemas</t>
        </is>
      </c>
      <c r="C7" s="25" t="inlineStr">
        <is>
          <t>Expand schema → shows table names</t>
        </is>
      </c>
      <c r="D7" s="26" t="inlineStr">
        <is>
          <t>⏳ PENDING</t>
        </is>
      </c>
      <c r="E7" s="25" t="inlineStr"/>
    </row>
    <row r="8" ht="28" customHeight="1">
      <c r="A8" s="12" t="n">
        <v>4</v>
      </c>
      <c r="B8" s="27" t="inlineStr">
        <is>
          <t>Expand table shows columns</t>
        </is>
      </c>
      <c r="C8" s="28" t="inlineStr">
        <is>
          <t>Column names and types visible</t>
        </is>
      </c>
      <c r="D8" s="26" t="inlineStr">
        <is>
          <t>⏳ PENDING</t>
        </is>
      </c>
      <c r="E8" s="28" t="inlineStr"/>
    </row>
    <row r="9" ht="28" customHeight="1">
      <c r="A9" s="5" t="n">
        <v>5</v>
      </c>
      <c r="B9" s="24" t="inlineStr">
        <is>
          <t>Right-click table → context menu</t>
        </is>
      </c>
      <c r="C9" s="25" t="inlineStr">
        <is>
          <t>Menu appears with options</t>
        </is>
      </c>
      <c r="D9" s="26" t="inlineStr">
        <is>
          <t>⏳ PENDING</t>
        </is>
      </c>
      <c r="E9" s="25" t="inlineStr"/>
    </row>
    <row r="10" ht="28" customHeight="1">
      <c r="A10" s="12" t="n">
        <v>6</v>
      </c>
      <c r="B10" s="27" t="inlineStr">
        <is>
          <t>Context menu has "View Data"</t>
        </is>
      </c>
      <c r="C10" s="28" t="inlineStr">
        <is>
          <t>Opens DataViewer tab</t>
        </is>
      </c>
      <c r="D10" s="26" t="inlineStr">
        <is>
          <t>⏳ PENDING</t>
        </is>
      </c>
      <c r="E10" s="28" t="inlineStr"/>
    </row>
    <row r="11" ht="28" customHeight="1">
      <c r="A11" s="5" t="n">
        <v>7</v>
      </c>
      <c r="B11" s="24" t="inlineStr">
        <is>
          <t>Context menu has "Import CSV"</t>
        </is>
      </c>
      <c r="C11" s="25" t="inlineStr">
        <is>
          <t>Opens CSV Import modal</t>
        </is>
      </c>
      <c r="D11" s="26" t="inlineStr">
        <is>
          <t>⏳ PENDING</t>
        </is>
      </c>
      <c r="E11" s="25" t="inlineStr"/>
    </row>
    <row r="12" ht="28" customHeight="1">
      <c r="A12" s="12" t="n">
        <v>8</v>
      </c>
      <c r="B12" s="27" t="inlineStr">
        <is>
          <t>Context menu has "Generate Test Data"</t>
        </is>
      </c>
      <c r="C12" s="28" t="inlineStr">
        <is>
          <t>Opens Fake Data Generator modal</t>
        </is>
      </c>
      <c r="D12" s="26" t="inlineStr">
        <is>
          <t>⏳ PENDING</t>
        </is>
      </c>
      <c r="E12" s="28" t="inlineStr"/>
    </row>
    <row r="13" ht="20" customHeight="1">
      <c r="A13" s="4" t="inlineStr">
        <is>
          <t>SUMMARY</t>
        </is>
      </c>
      <c r="D13" s="29">
        <f>COUNTIF(D5:D12,"✅ PASS")&amp;" / "&amp;COUNTA(D5:D12)&amp;" passed"</f>
        <v/>
      </c>
      <c r="E13" s="21" t="inlineStr"/>
    </row>
  </sheetData>
  <mergeCells count="4">
    <mergeCell ref="A2:E2"/>
    <mergeCell ref="A1:E1"/>
    <mergeCell ref="A13:C13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14" customWidth="1" min="4" max="4"/>
    <col width="35" customWidth="1" min="5" max="5"/>
  </cols>
  <sheetData>
    <row r="1" ht="32" customHeight="1">
      <c r="A1" s="22" t="inlineStr">
        <is>
          <t>ONOBASE — Feature 7 — Data Viewer</t>
        </is>
      </c>
    </row>
    <row r="2" ht="16" customHeight="1">
      <c r="A2" s="23" t="inlineStr">
        <is>
          <t>Mark Result column: ✅ PASS  ❌ FAIL  ⏳ PENDING  |  Add notes in Notes column</t>
        </is>
      </c>
    </row>
    <row r="3" ht="6" customHeight="1">
      <c r="A3" s="3" t="n"/>
    </row>
    <row r="4" ht="20" customHeight="1">
      <c r="A4" s="4" t="inlineStr">
        <is>
          <t>#</t>
        </is>
      </c>
      <c r="B4" s="4" t="inlineStr">
        <is>
          <t>Test Description</t>
        </is>
      </c>
      <c r="C4" s="4" t="inlineStr">
        <is>
          <t>How to Test</t>
        </is>
      </c>
      <c r="D4" s="4" t="inlineStr">
        <is>
          <t>Result</t>
        </is>
      </c>
      <c r="E4" s="4" t="inlineStr">
        <is>
          <t>Notes / Bug Details</t>
        </is>
      </c>
    </row>
    <row r="5" ht="28" customHeight="1">
      <c r="A5" s="5" t="n">
        <v>1</v>
      </c>
      <c r="B5" s="24" t="inlineStr">
        <is>
          <t>Right-click table → View Data opens tab</t>
        </is>
      </c>
      <c r="C5" s="25" t="inlineStr">
        <is>
          <t>DataViewer tab appears with table name</t>
        </is>
      </c>
      <c r="D5" s="26" t="inlineStr">
        <is>
          <t>⏳ PENDING</t>
        </is>
      </c>
      <c r="E5" s="25" t="inlineStr"/>
    </row>
    <row r="6" ht="28" customHeight="1">
      <c r="A6" s="12" t="n">
        <v>2</v>
      </c>
      <c r="B6" s="27" t="inlineStr">
        <is>
          <t>AG Grid renders with data</t>
        </is>
      </c>
      <c r="C6" s="28" t="inlineStr">
        <is>
          <t>Rows and columns visible</t>
        </is>
      </c>
      <c r="D6" s="26" t="inlineStr">
        <is>
          <t>⏳ PENDING</t>
        </is>
      </c>
      <c r="E6" s="28" t="inlineStr"/>
    </row>
    <row r="7" ht="28" customHeight="1">
      <c r="A7" s="5" t="n">
        <v>3</v>
      </c>
      <c r="B7" s="24" t="inlineStr">
        <is>
          <t>PK column pinned left</t>
        </is>
      </c>
      <c r="C7" s="25" t="inlineStr">
        <is>
          <t>Primary key column fixed on left side</t>
        </is>
      </c>
      <c r="D7" s="26" t="inlineStr">
        <is>
          <t>⏳ PENDING</t>
        </is>
      </c>
      <c r="E7" s="25" t="inlineStr"/>
    </row>
    <row r="8" ht="28" customHeight="1">
      <c r="A8" s="12" t="n">
        <v>4</v>
      </c>
      <c r="B8" s="27" t="inlineStr">
        <is>
          <t>PK column has teal tint background</t>
        </is>
      </c>
      <c r="C8" s="28" t="inlineStr">
        <is>
          <t>Subtle green/teal background on PK column</t>
        </is>
      </c>
      <c r="D8" s="26" t="inlineStr">
        <is>
          <t>⏳ PENDING</t>
        </is>
      </c>
      <c r="E8" s="28" t="inlineStr"/>
    </row>
    <row r="9" ht="28" customHeight="1">
      <c r="A9" s="5" t="n">
        <v>5</v>
      </c>
      <c r="B9" s="24" t="inlineStr">
        <is>
          <t>PK column is NOT editable</t>
        </is>
      </c>
      <c r="C9" s="25" t="inlineStr">
        <is>
          <t>Clicking PK cell does not allow editing</t>
        </is>
      </c>
      <c r="D9" s="26" t="inlineStr">
        <is>
          <t>⏳ PENDING</t>
        </is>
      </c>
      <c r="E9" s="25" t="inlineStr"/>
    </row>
    <row r="10" ht="28" customHeight="1">
      <c r="A10" s="12" t="n">
        <v>6</v>
      </c>
      <c r="B10" s="27" t="inlineStr">
        <is>
          <t>Non-PK cells are editable</t>
        </is>
      </c>
      <c r="C10" s="28" t="inlineStr">
        <is>
          <t>Click cell → edit mode activates</t>
        </is>
      </c>
      <c r="D10" s="26" t="inlineStr">
        <is>
          <t>⏳ PENDING</t>
        </is>
      </c>
      <c r="E10" s="28" t="inlineStr"/>
    </row>
    <row r="11" ht="28" customHeight="1">
      <c r="A11" s="5" t="n">
        <v>7</v>
      </c>
      <c r="B11" s="24" t="inlineStr">
        <is>
          <t>Edited cells highlight yellow</t>
        </is>
      </c>
      <c r="C11" s="25" t="inlineStr">
        <is>
          <t>Changed cell gets yellow background</t>
        </is>
      </c>
      <c r="D11" s="26" t="inlineStr">
        <is>
          <t>⏳ PENDING</t>
        </is>
      </c>
      <c r="E11" s="25" t="inlineStr"/>
    </row>
    <row r="12" ht="28" customHeight="1">
      <c r="A12" s="12" t="n">
        <v>8</v>
      </c>
      <c r="B12" s="27" t="inlineStr">
        <is>
          <t>Save Changes shows pending count</t>
        </is>
      </c>
      <c r="C12" s="28" t="inlineStr">
        <is>
          <t>Button label shows "Save (3)" etc.</t>
        </is>
      </c>
      <c r="D12" s="26" t="inlineStr">
        <is>
          <t>⏳ PENDING</t>
        </is>
      </c>
      <c r="E12" s="28" t="inlineStr"/>
    </row>
    <row r="13" ht="28" customHeight="1">
      <c r="A13" s="5" t="n">
        <v>9</v>
      </c>
      <c r="B13" s="24" t="inlineStr">
        <is>
          <t>Save → updates database</t>
        </is>
      </c>
      <c r="C13" s="25" t="inlineStr">
        <is>
          <t>Check DB directly — value changed</t>
        </is>
      </c>
      <c r="D13" s="26" t="inlineStr">
        <is>
          <t>⏳ PENDING</t>
        </is>
      </c>
      <c r="E13" s="25" t="inlineStr"/>
    </row>
    <row r="14" ht="28" customHeight="1">
      <c r="A14" s="12" t="n">
        <v>10</v>
      </c>
      <c r="B14" s="27" t="inlineStr">
        <is>
          <t>Success toast after save</t>
        </is>
      </c>
      <c r="C14" s="28" t="inlineStr">
        <is>
          <t>"X cells updated" message appears</t>
        </is>
      </c>
      <c r="D14" s="26" t="inlineStr">
        <is>
          <t>⏳ PENDING</t>
        </is>
      </c>
      <c r="E14" s="28" t="inlineStr"/>
    </row>
    <row r="15" ht="28" customHeight="1">
      <c r="A15" s="5" t="n">
        <v>11</v>
      </c>
      <c r="B15" s="24" t="inlineStr">
        <is>
          <t>Select rows → Delete → confirmation</t>
        </is>
      </c>
      <c r="C15" s="25" t="inlineStr">
        <is>
          <t>Dialog asks to confirm deletion</t>
        </is>
      </c>
      <c r="D15" s="26" t="inlineStr">
        <is>
          <t>⏳ PENDING</t>
        </is>
      </c>
      <c r="E15" s="25" t="inlineStr"/>
    </row>
    <row r="16" ht="28" customHeight="1">
      <c r="A16" s="12" t="n">
        <v>12</v>
      </c>
      <c r="B16" s="27" t="inlineStr">
        <is>
          <t>Pagination controls work</t>
        </is>
      </c>
      <c r="C16" s="28" t="inlineStr">
        <is>
          <t>Page forward/back changes rows shown</t>
        </is>
      </c>
      <c r="D16" s="26" t="inlineStr">
        <is>
          <t>⏳ PENDING</t>
        </is>
      </c>
      <c r="E16" s="28" t="inlineStr"/>
    </row>
    <row r="17" ht="20" customHeight="1">
      <c r="A17" s="4" t="inlineStr">
        <is>
          <t>SUMMARY</t>
        </is>
      </c>
      <c r="D17" s="29">
        <f>COUNTIF(D5:D16,"✅ PASS")&amp;" / "&amp;COUNTA(D5:D16)&amp;" passed"</f>
        <v/>
      </c>
      <c r="E17" s="21" t="inlineStr"/>
    </row>
  </sheetData>
  <mergeCells count="4">
    <mergeCell ref="A2:E2"/>
    <mergeCell ref="A1:E1"/>
    <mergeCell ref="A17:C17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14" customWidth="1" min="4" max="4"/>
    <col width="35" customWidth="1" min="5" max="5"/>
  </cols>
  <sheetData>
    <row r="1" ht="32" customHeight="1">
      <c r="A1" s="22" t="inlineStr">
        <is>
          <t>ONOBASE — Feature 8 — CSV Import</t>
        </is>
      </c>
    </row>
    <row r="2" ht="16" customHeight="1">
      <c r="A2" s="23" t="inlineStr">
        <is>
          <t>Mark Result column: ✅ PASS  ❌ FAIL  ⏳ PENDING  |  Add notes in Notes column</t>
        </is>
      </c>
    </row>
    <row r="3" ht="6" customHeight="1">
      <c r="A3" s="3" t="n"/>
    </row>
    <row r="4" ht="20" customHeight="1">
      <c r="A4" s="4" t="inlineStr">
        <is>
          <t>#</t>
        </is>
      </c>
      <c r="B4" s="4" t="inlineStr">
        <is>
          <t>Test Description</t>
        </is>
      </c>
      <c r="C4" s="4" t="inlineStr">
        <is>
          <t>How to Test</t>
        </is>
      </c>
      <c r="D4" s="4" t="inlineStr">
        <is>
          <t>Result</t>
        </is>
      </c>
      <c r="E4" s="4" t="inlineStr">
        <is>
          <t>Notes / Bug Details</t>
        </is>
      </c>
    </row>
    <row r="5" ht="28" customHeight="1">
      <c r="A5" s="5" t="n">
        <v>1</v>
      </c>
      <c r="B5" s="24" t="inlineStr">
        <is>
          <t>Right-click table → Import CSV → modal opens</t>
        </is>
      </c>
      <c r="C5" s="25" t="inlineStr">
        <is>
          <t>Glass modal appears</t>
        </is>
      </c>
      <c r="D5" s="26" t="inlineStr">
        <is>
          <t>⏳ PENDING</t>
        </is>
      </c>
      <c r="E5" s="25" t="inlineStr"/>
    </row>
    <row r="6" ht="28" customHeight="1">
      <c r="A6" s="12" t="n">
        <v>2</v>
      </c>
      <c r="B6" s="27" t="inlineStr">
        <is>
          <t>Drag and drop CSV file works</t>
        </is>
      </c>
      <c r="C6" s="28" t="inlineStr">
        <is>
          <t>File accepted when dropped on modal</t>
        </is>
      </c>
      <c r="D6" s="26" t="inlineStr">
        <is>
          <t>⏳ PENDING</t>
        </is>
      </c>
      <c r="E6" s="28" t="inlineStr"/>
    </row>
    <row r="7" ht="28" customHeight="1">
      <c r="A7" s="5" t="n">
        <v>3</v>
      </c>
      <c r="B7" s="24" t="inlineStr">
        <is>
          <t>Preview shows first 5 rows</t>
        </is>
      </c>
      <c r="C7" s="25" t="inlineStr">
        <is>
          <t>Table preview of CSV data visible</t>
        </is>
      </c>
      <c r="D7" s="26" t="inlineStr">
        <is>
          <t>⏳ PENDING</t>
        </is>
      </c>
      <c r="E7" s="25" t="inlineStr"/>
    </row>
    <row r="8" ht="28" customHeight="1">
      <c r="A8" s="12" t="n">
        <v>4</v>
      </c>
      <c r="B8" s="27" t="inlineStr">
        <is>
          <t>Column mapping dropdowns work</t>
        </is>
      </c>
      <c r="C8" s="28" t="inlineStr">
        <is>
          <t>Each CSV column maps to a DB column</t>
        </is>
      </c>
      <c r="D8" s="26" t="inlineStr">
        <is>
          <t>⏳ PENDING</t>
        </is>
      </c>
      <c r="E8" s="28" t="inlineStr"/>
    </row>
    <row r="9" ht="28" customHeight="1">
      <c r="A9" s="5" t="n">
        <v>5</v>
      </c>
      <c r="B9" s="24" t="inlineStr">
        <is>
          <t>Import button runs with progress</t>
        </is>
      </c>
      <c r="C9" s="25" t="inlineStr">
        <is>
          <t>Progress indicator shown during import</t>
        </is>
      </c>
      <c r="D9" s="26" t="inlineStr">
        <is>
          <t>⏳ PENDING</t>
        </is>
      </c>
      <c r="E9" s="25" t="inlineStr"/>
    </row>
    <row r="10" ht="28" customHeight="1">
      <c r="A10" s="12" t="n">
        <v>6</v>
      </c>
      <c r="B10" s="27" t="inlineStr">
        <is>
          <t>Success toast shows row count</t>
        </is>
      </c>
      <c r="C10" s="28" t="inlineStr">
        <is>
          <t>"X rows imported" message appears</t>
        </is>
      </c>
      <c r="D10" s="26" t="inlineStr">
        <is>
          <t>⏳ PENDING</t>
        </is>
      </c>
      <c r="E10" s="28" t="inlineStr"/>
    </row>
    <row r="11" ht="28" customHeight="1">
      <c r="A11" s="5" t="n">
        <v>7</v>
      </c>
      <c r="B11" s="24" t="inlineStr">
        <is>
          <t>Data appears in table after import</t>
        </is>
      </c>
      <c r="C11" s="25" t="inlineStr">
        <is>
          <t>View Data confirms rows were inserted</t>
        </is>
      </c>
      <c r="D11" s="26" t="inlineStr">
        <is>
          <t>⏳ PENDING</t>
        </is>
      </c>
      <c r="E11" s="25" t="inlineStr"/>
    </row>
    <row r="12" ht="28" customHeight="1">
      <c r="A12" s="12" t="n">
        <v>8</v>
      </c>
      <c r="B12" s="27" t="inlineStr">
        <is>
          <t>Invalid CSV shows error</t>
        </is>
      </c>
      <c r="C12" s="28" t="inlineStr">
        <is>
          <t>Malformed file handled gracefully</t>
        </is>
      </c>
      <c r="D12" s="26" t="inlineStr">
        <is>
          <t>⏳ PENDING</t>
        </is>
      </c>
      <c r="E12" s="28" t="inlineStr"/>
    </row>
    <row r="13" ht="20" customHeight="1">
      <c r="A13" s="4" t="inlineStr">
        <is>
          <t>SUMMARY</t>
        </is>
      </c>
      <c r="D13" s="29">
        <f>COUNTIF(D5:D12,"✅ PASS")&amp;" / "&amp;COUNTA(D5:D12)&amp;" passed"</f>
        <v/>
      </c>
      <c r="E13" s="21" t="inlineStr"/>
    </row>
  </sheetData>
  <mergeCells count="4">
    <mergeCell ref="A2:E2"/>
    <mergeCell ref="A1:E1"/>
    <mergeCell ref="A13:C13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14" customWidth="1" min="4" max="4"/>
    <col width="35" customWidth="1" min="5" max="5"/>
  </cols>
  <sheetData>
    <row r="1" ht="32" customHeight="1">
      <c r="A1" s="22" t="inlineStr">
        <is>
          <t>ONOBASE — Feature 9 — Global Search</t>
        </is>
      </c>
    </row>
    <row r="2" ht="16" customHeight="1">
      <c r="A2" s="23" t="inlineStr">
        <is>
          <t>Mark Result column: ✅ PASS  ❌ FAIL  ⏳ PENDING  |  Add notes in Notes column</t>
        </is>
      </c>
    </row>
    <row r="3" ht="6" customHeight="1">
      <c r="A3" s="3" t="n"/>
    </row>
    <row r="4" ht="20" customHeight="1">
      <c r="A4" s="4" t="inlineStr">
        <is>
          <t>#</t>
        </is>
      </c>
      <c r="B4" s="4" t="inlineStr">
        <is>
          <t>Test Description</t>
        </is>
      </c>
      <c r="C4" s="4" t="inlineStr">
        <is>
          <t>How to Test</t>
        </is>
      </c>
      <c r="D4" s="4" t="inlineStr">
        <is>
          <t>Result</t>
        </is>
      </c>
      <c r="E4" s="4" t="inlineStr">
        <is>
          <t>Notes / Bug Details</t>
        </is>
      </c>
    </row>
    <row r="5" ht="28" customHeight="1">
      <c r="A5" s="5" t="n">
        <v>1</v>
      </c>
      <c r="B5" s="24" t="inlineStr">
        <is>
          <t>Ctrl+Shift+F opens search overlay</t>
        </is>
      </c>
      <c r="C5" s="25" t="inlineStr">
        <is>
          <t>Search modal appears</t>
        </is>
      </c>
      <c r="D5" s="26" t="inlineStr">
        <is>
          <t>⏳ PENDING</t>
        </is>
      </c>
      <c r="E5" s="25" t="inlineStr"/>
    </row>
    <row r="6" ht="28" customHeight="1">
      <c r="A6" s="12" t="n">
        <v>2</v>
      </c>
      <c r="B6" s="27" t="inlineStr">
        <is>
          <t>Escape closes overlay</t>
        </is>
      </c>
      <c r="C6" s="28" t="inlineStr">
        <is>
          <t>Modal dismisses on Escape key</t>
        </is>
      </c>
      <c r="D6" s="26" t="inlineStr">
        <is>
          <t>⏳ PENDING</t>
        </is>
      </c>
      <c r="E6" s="28" t="inlineStr"/>
    </row>
    <row r="7" ht="28" customHeight="1">
      <c r="A7" s="5" t="n">
        <v>3</v>
      </c>
      <c r="B7" s="24" t="inlineStr">
        <is>
          <t>Search icon in toolbar works</t>
        </is>
      </c>
      <c r="C7" s="25" t="inlineStr">
        <is>
          <t>Clicking icon also opens overlay</t>
        </is>
      </c>
      <c r="D7" s="26" t="inlineStr">
        <is>
          <t>⏳ PENDING</t>
        </is>
      </c>
      <c r="E7" s="25" t="inlineStr"/>
    </row>
    <row r="8" ht="28" customHeight="1">
      <c r="A8" s="12" t="n">
        <v>4</v>
      </c>
      <c r="B8" s="27" t="inlineStr">
        <is>
          <t>Typing searches across tables</t>
        </is>
      </c>
      <c r="C8" s="28" t="inlineStr">
        <is>
          <t>Results populate as you type</t>
        </is>
      </c>
      <c r="D8" s="26" t="inlineStr">
        <is>
          <t>⏳ PENDING</t>
        </is>
      </c>
      <c r="E8" s="28" t="inlineStr"/>
    </row>
    <row r="9" ht="28" customHeight="1">
      <c r="A9" s="5" t="n">
        <v>5</v>
      </c>
      <c r="B9" s="24" t="inlineStr">
        <is>
          <t>Results show table + column + value</t>
        </is>
      </c>
      <c r="C9" s="25" t="inlineStr">
        <is>
          <t>Each result has full context</t>
        </is>
      </c>
      <c r="D9" s="26" t="inlineStr">
        <is>
          <t>⏳ PENDING</t>
        </is>
      </c>
      <c r="E9" s="25" t="inlineStr"/>
    </row>
    <row r="10" ht="28" customHeight="1">
      <c r="A10" s="12" t="n">
        <v>6</v>
      </c>
      <c r="B10" s="27" t="inlineStr">
        <is>
          <t>"Open Table" button works</t>
        </is>
      </c>
      <c r="C10" s="28" t="inlineStr">
        <is>
          <t>Clicks opens DataViewer for that table</t>
        </is>
      </c>
      <c r="D10" s="26" t="inlineStr">
        <is>
          <t>⏳ PENDING</t>
        </is>
      </c>
      <c r="E10" s="28" t="inlineStr"/>
    </row>
    <row r="11" ht="28" customHeight="1">
      <c r="A11" s="5" t="n">
        <v>7</v>
      </c>
      <c r="B11" s="24" t="inlineStr">
        <is>
          <t>Empty results state shown</t>
        </is>
      </c>
      <c r="C11" s="25" t="inlineStr">
        <is>
          <t>"No results for X" message when nothing found</t>
        </is>
      </c>
      <c r="D11" s="26" t="inlineStr">
        <is>
          <t>⏳ PENDING</t>
        </is>
      </c>
      <c r="E11" s="25" t="inlineStr"/>
    </row>
    <row r="12" ht="28" customHeight="1">
      <c r="A12" s="12" t="n">
        <v>8</v>
      </c>
      <c r="B12" s="27" t="inlineStr">
        <is>
          <t>Loading state shown</t>
        </is>
      </c>
      <c r="C12" s="28" t="inlineStr">
        <is>
          <t>Spinner visible while searching</t>
        </is>
      </c>
      <c r="D12" s="26" t="inlineStr">
        <is>
          <t>⏳ PENDING</t>
        </is>
      </c>
      <c r="E12" s="28" t="inlineStr"/>
    </row>
    <row r="13" ht="20" customHeight="1">
      <c r="A13" s="4" t="inlineStr">
        <is>
          <t>SUMMARY</t>
        </is>
      </c>
      <c r="D13" s="29">
        <f>COUNTIF(D5:D12,"✅ PASS")&amp;" / "&amp;COUNTA(D5:D12)&amp;" passed"</f>
        <v/>
      </c>
      <c r="E13" s="21" t="inlineStr"/>
    </row>
  </sheetData>
  <mergeCells count="4">
    <mergeCell ref="A2:E2"/>
    <mergeCell ref="A1:E1"/>
    <mergeCell ref="A13:C13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14" customWidth="1" min="4" max="4"/>
    <col width="35" customWidth="1" min="5" max="5"/>
  </cols>
  <sheetData>
    <row r="1" ht="32" customHeight="1">
      <c r="A1" s="22" t="inlineStr">
        <is>
          <t>ONOBASE — Feature 10 — Fake Data Generator</t>
        </is>
      </c>
    </row>
    <row r="2" ht="16" customHeight="1">
      <c r="A2" s="23" t="inlineStr">
        <is>
          <t>Mark Result column: ✅ PASS  ❌ FAIL  ⏳ PENDING  |  Add notes in Notes column</t>
        </is>
      </c>
    </row>
    <row r="3" ht="6" customHeight="1">
      <c r="A3" s="3" t="n"/>
    </row>
    <row r="4" ht="20" customHeight="1">
      <c r="A4" s="4" t="inlineStr">
        <is>
          <t>#</t>
        </is>
      </c>
      <c r="B4" s="4" t="inlineStr">
        <is>
          <t>Test Description</t>
        </is>
      </c>
      <c r="C4" s="4" t="inlineStr">
        <is>
          <t>How to Test</t>
        </is>
      </c>
      <c r="D4" s="4" t="inlineStr">
        <is>
          <t>Result</t>
        </is>
      </c>
      <c r="E4" s="4" t="inlineStr">
        <is>
          <t>Notes / Bug Details</t>
        </is>
      </c>
    </row>
    <row r="5" ht="28" customHeight="1">
      <c r="A5" s="5" t="n">
        <v>1</v>
      </c>
      <c r="B5" s="24" t="inlineStr">
        <is>
          <t>Right-click table → Generate Test Data</t>
        </is>
      </c>
      <c r="C5" s="25" t="inlineStr">
        <is>
          <t>Modal opens</t>
        </is>
      </c>
      <c r="D5" s="26" t="inlineStr">
        <is>
          <t>⏳ PENDING</t>
        </is>
      </c>
      <c r="E5" s="25" t="inlineStr"/>
    </row>
    <row r="6" ht="28" customHeight="1">
      <c r="A6" s="12" t="n">
        <v>2</v>
      </c>
      <c r="B6" s="27" t="inlineStr">
        <is>
          <t>Table selector dropdown populated</t>
        </is>
      </c>
      <c r="C6" s="28" t="inlineStr">
        <is>
          <t>All tables listed</t>
        </is>
      </c>
      <c r="D6" s="26" t="inlineStr">
        <is>
          <t>⏳ PENDING</t>
        </is>
      </c>
      <c r="E6" s="28" t="inlineStr"/>
    </row>
    <row r="7" ht="28" customHeight="1">
      <c r="A7" s="5" t="n">
        <v>3</v>
      </c>
      <c r="B7" s="24" t="inlineStr">
        <is>
          <t>Row count input works</t>
        </is>
      </c>
      <c r="C7" s="25" t="inlineStr">
        <is>
          <t>Can type custom number</t>
        </is>
      </c>
      <c r="D7" s="26" t="inlineStr">
        <is>
          <t>⏳ PENDING</t>
        </is>
      </c>
      <c r="E7" s="25" t="inlineStr"/>
    </row>
    <row r="8" ht="28" customHeight="1">
      <c r="A8" s="12" t="n">
        <v>4</v>
      </c>
      <c r="B8" s="27" t="inlineStr">
        <is>
          <t>Preset buttons work [10][100][1000][5000]</t>
        </is>
      </c>
      <c r="C8" s="28" t="inlineStr">
        <is>
          <t>Clicking presets sets count</t>
        </is>
      </c>
      <c r="D8" s="26" t="inlineStr">
        <is>
          <t>⏳ PENDING</t>
        </is>
      </c>
      <c r="E8" s="28" t="inlineStr"/>
    </row>
    <row r="9" ht="28" customHeight="1">
      <c r="A9" s="5" t="n">
        <v>5</v>
      </c>
      <c r="B9" s="24" t="inlineStr">
        <is>
          <t>Column preview shows sample values</t>
        </is>
      </c>
      <c r="C9" s="25" t="inlineStr">
        <is>
          <t>Each column shows realistic fake value</t>
        </is>
      </c>
      <c r="D9" s="26" t="inlineStr">
        <is>
          <t>⏳ PENDING</t>
        </is>
      </c>
      <c r="E9" s="25" t="inlineStr"/>
    </row>
    <row r="10" ht="28" customHeight="1">
      <c r="A10" s="12" t="n">
        <v>6</v>
      </c>
      <c r="B10" s="27" t="inlineStr">
        <is>
          <t>Preview regenerates on button click</t>
        </is>
      </c>
      <c r="C10" s="28" t="inlineStr">
        <is>
          <t>"Regenerate Preview" updates samples</t>
        </is>
      </c>
      <c r="D10" s="26" t="inlineStr">
        <is>
          <t>⏳ PENDING</t>
        </is>
      </c>
      <c r="E10" s="28" t="inlineStr"/>
    </row>
    <row r="11" ht="28" customHeight="1">
      <c r="A11" s="5" t="n">
        <v>7</v>
      </c>
      <c r="B11" s="24" t="inlineStr">
        <is>
          <t>Generate inserts rows</t>
        </is>
      </c>
      <c r="C11" s="25" t="inlineStr">
        <is>
          <t>Click Generate — rows added to table</t>
        </is>
      </c>
      <c r="D11" s="26" t="inlineStr">
        <is>
          <t>⏳ PENDING</t>
        </is>
      </c>
      <c r="E11" s="25" t="inlineStr"/>
    </row>
    <row r="12" ht="28" customHeight="1">
      <c r="A12" s="12" t="n">
        <v>8</v>
      </c>
      <c r="B12" s="27" t="inlineStr">
        <is>
          <t>Success toast shows count</t>
        </is>
      </c>
      <c r="C12" s="28" t="inlineStr">
        <is>
          <t>"X rows inserted" message</t>
        </is>
      </c>
      <c r="D12" s="26" t="inlineStr">
        <is>
          <t>⏳ PENDING</t>
        </is>
      </c>
      <c r="E12" s="28" t="inlineStr"/>
    </row>
    <row r="13" ht="20" customHeight="1">
      <c r="A13" s="4" t="inlineStr">
        <is>
          <t>SUMMARY</t>
        </is>
      </c>
      <c r="D13" s="29">
        <f>COUNTIF(D5:D12,"✅ PASS")&amp;" / "&amp;COUNTA(D5:D12)&amp;" passed"</f>
        <v/>
      </c>
      <c r="E13" s="21" t="inlineStr"/>
    </row>
  </sheetData>
  <mergeCells count="4">
    <mergeCell ref="A2:E2"/>
    <mergeCell ref="A1:E1"/>
    <mergeCell ref="A13:C13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14" customWidth="1" min="4" max="4"/>
    <col width="35" customWidth="1" min="5" max="5"/>
  </cols>
  <sheetData>
    <row r="1" ht="32" customHeight="1">
      <c r="A1" s="22" t="inlineStr">
        <is>
          <t>ONOBASE — Feature 11 — Schema Comparison</t>
        </is>
      </c>
    </row>
    <row r="2" ht="16" customHeight="1">
      <c r="A2" s="23" t="inlineStr">
        <is>
          <t>Mark Result column: ✅ PASS  ❌ FAIL  ⏳ PENDING  |  Add notes in Notes column</t>
        </is>
      </c>
    </row>
    <row r="3" ht="6" customHeight="1">
      <c r="A3" s="3" t="n"/>
    </row>
    <row r="4" ht="20" customHeight="1">
      <c r="A4" s="4" t="inlineStr">
        <is>
          <t>#</t>
        </is>
      </c>
      <c r="B4" s="4" t="inlineStr">
        <is>
          <t>Test Description</t>
        </is>
      </c>
      <c r="C4" s="4" t="inlineStr">
        <is>
          <t>How to Test</t>
        </is>
      </c>
      <c r="D4" s="4" t="inlineStr">
        <is>
          <t>Result</t>
        </is>
      </c>
      <c r="E4" s="4" t="inlineStr">
        <is>
          <t>Notes / Bug Details</t>
        </is>
      </c>
    </row>
    <row r="5" ht="28" customHeight="1">
      <c r="A5" s="5" t="n">
        <v>1</v>
      </c>
      <c r="B5" s="24" t="inlineStr">
        <is>
          <t>GitCompare toolbar button opens tab</t>
        </is>
      </c>
      <c r="C5" s="25" t="inlineStr">
        <is>
          <t>Schema Comparison tab appears</t>
        </is>
      </c>
      <c r="D5" s="26" t="inlineStr">
        <is>
          <t>⏳ PENDING</t>
        </is>
      </c>
      <c r="E5" s="25" t="inlineStr"/>
    </row>
    <row r="6" ht="28" customHeight="1">
      <c r="A6" s="12" t="n">
        <v>2</v>
      </c>
      <c r="B6" s="27" t="inlineStr">
        <is>
          <t>Connection A shown as Primary</t>
        </is>
      </c>
      <c r="C6" s="28" t="inlineStr">
        <is>
          <t>Current connection displayed with "Primary" badge</t>
        </is>
      </c>
      <c r="D6" s="26" t="inlineStr">
        <is>
          <t>⏳ PENDING</t>
        </is>
      </c>
      <c r="E6" s="28" t="inlineStr"/>
    </row>
    <row r="7" ht="28" customHeight="1">
      <c r="A7" s="5" t="n">
        <v>3</v>
      </c>
      <c r="B7" s="24" t="inlineStr">
        <is>
          <t>"Connect Database B" button works</t>
        </is>
      </c>
      <c r="C7" s="25" t="inlineStr">
        <is>
          <t>Opens connect dialog for second connection</t>
        </is>
      </c>
      <c r="D7" s="26" t="inlineStr">
        <is>
          <t>⏳ PENDING</t>
        </is>
      </c>
      <c r="E7" s="25" t="inlineStr"/>
    </row>
    <row r="8" ht="28" customHeight="1">
      <c r="A8" s="12" t="n">
        <v>4</v>
      </c>
      <c r="B8" s="27" t="inlineStr">
        <is>
          <t>"Compare Schemas" button runs diff</t>
        </is>
      </c>
      <c r="C8" s="28" t="inlineStr">
        <is>
          <t>Results appear after clicking</t>
        </is>
      </c>
      <c r="D8" s="26" t="inlineStr">
        <is>
          <t>⏳ PENDING</t>
        </is>
      </c>
      <c r="E8" s="28" t="inlineStr"/>
    </row>
    <row r="9" ht="28" customHeight="1">
      <c r="A9" s="5" t="n">
        <v>5</v>
      </c>
      <c r="B9" s="24" t="inlineStr">
        <is>
          <t>Summary cards show counts</t>
        </is>
      </c>
      <c r="C9" s="25" t="inlineStr">
        <is>
          <t>Four cards: only-in-A, only-in-B, in-both, column-diffs</t>
        </is>
      </c>
      <c r="D9" s="26" t="inlineStr">
        <is>
          <t>⏳ PENDING</t>
        </is>
      </c>
      <c r="E9" s="25" t="inlineStr"/>
    </row>
    <row r="10" ht="28" customHeight="1">
      <c r="A10" s="12" t="n">
        <v>6</v>
      </c>
      <c r="B10" s="27" t="inlineStr">
        <is>
          <t>"Only in A" tab lists missing tables</t>
        </is>
      </c>
      <c r="C10" s="28" t="inlineStr">
        <is>
          <t>Tables with red background</t>
        </is>
      </c>
      <c r="D10" s="26" t="inlineStr">
        <is>
          <t>⏳ PENDING</t>
        </is>
      </c>
      <c r="E10" s="28" t="inlineStr"/>
    </row>
    <row r="11" ht="28" customHeight="1">
      <c r="A11" s="5" t="n">
        <v>7</v>
      </c>
      <c r="B11" s="24" t="inlineStr">
        <is>
          <t>"Only in B" tab lists extra tables</t>
        </is>
      </c>
      <c r="C11" s="25" t="inlineStr">
        <is>
          <t>Tables with green background</t>
        </is>
      </c>
      <c r="D11" s="26" t="inlineStr">
        <is>
          <t>⏳ PENDING</t>
        </is>
      </c>
      <c r="E11" s="25" t="inlineStr"/>
    </row>
    <row r="12" ht="28" customHeight="1">
      <c r="A12" s="12" t="n">
        <v>8</v>
      </c>
      <c r="B12" s="27" t="inlineStr">
        <is>
          <t>"Column Differences" tab shows grid</t>
        </is>
      </c>
      <c r="C12" s="28" t="inlineStr">
        <is>
          <t>AG Grid with table/column/status/detail</t>
        </is>
      </c>
      <c r="D12" s="26" t="inlineStr">
        <is>
          <t>⏳ PENDING</t>
        </is>
      </c>
      <c r="E12" s="28" t="inlineStr"/>
    </row>
    <row r="13" ht="28" customHeight="1">
      <c r="A13" s="5" t="n">
        <v>9</v>
      </c>
      <c r="B13" s="24" t="inlineStr">
        <is>
          <t>"Generate Migration Script" opens SQL</t>
        </is>
      </c>
      <c r="C13" s="25" t="inlineStr">
        <is>
          <t>New query tab with ALTER TABLE statements</t>
        </is>
      </c>
      <c r="D13" s="26" t="inlineStr">
        <is>
          <t>⏳ PENDING</t>
        </is>
      </c>
      <c r="E13" s="25" t="inlineStr"/>
    </row>
    <row r="14" ht="20" customHeight="1">
      <c r="A14" s="4" t="inlineStr">
        <is>
          <t>SUMMARY</t>
        </is>
      </c>
      <c r="D14" s="29">
        <f>COUNTIF(D5:D13,"✅ PASS")&amp;" / "&amp;COUNTA(D5:D13)&amp;" passed"</f>
        <v/>
      </c>
      <c r="E14" s="21" t="inlineStr"/>
    </row>
  </sheetData>
  <mergeCells count="4">
    <mergeCell ref="A2:E2"/>
    <mergeCell ref="A1:E1"/>
    <mergeCell ref="A14:C14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14" customWidth="1" min="4" max="4"/>
    <col width="35" customWidth="1" min="5" max="5"/>
  </cols>
  <sheetData>
    <row r="1" ht="32" customHeight="1">
      <c r="A1" s="22" t="inlineStr">
        <is>
          <t>ONOBASE — Feature 12 — Query Log</t>
        </is>
      </c>
    </row>
    <row r="2" ht="16" customHeight="1">
      <c r="A2" s="23" t="inlineStr">
        <is>
          <t>Mark Result column: ✅ PASS  ❌ FAIL  ⏳ PENDING  |  Add notes in Notes column</t>
        </is>
      </c>
    </row>
    <row r="3" ht="6" customHeight="1">
      <c r="A3" s="3" t="n"/>
    </row>
    <row r="4" ht="20" customHeight="1">
      <c r="A4" s="4" t="inlineStr">
        <is>
          <t>#</t>
        </is>
      </c>
      <c r="B4" s="4" t="inlineStr">
        <is>
          <t>Test Description</t>
        </is>
      </c>
      <c r="C4" s="4" t="inlineStr">
        <is>
          <t>How to Test</t>
        </is>
      </c>
      <c r="D4" s="4" t="inlineStr">
        <is>
          <t>Result</t>
        </is>
      </c>
      <c r="E4" s="4" t="inlineStr">
        <is>
          <t>Notes / Bug Details</t>
        </is>
      </c>
    </row>
    <row r="5" ht="28" customHeight="1">
      <c r="A5" s="5" t="n">
        <v>1</v>
      </c>
      <c r="B5" s="24" t="inlineStr">
        <is>
          <t>History toolbar button opens Query Log tab</t>
        </is>
      </c>
      <c r="C5" s="25" t="inlineStr">
        <is>
          <t>Tab appears</t>
        </is>
      </c>
      <c r="D5" s="26" t="inlineStr">
        <is>
          <t>⏳ PENDING</t>
        </is>
      </c>
      <c r="E5" s="25" t="inlineStr"/>
    </row>
    <row r="6" ht="28" customHeight="1">
      <c r="A6" s="12" t="n">
        <v>2</v>
      </c>
      <c r="B6" s="27" t="inlineStr">
        <is>
          <t>Previous queries listed</t>
        </is>
      </c>
      <c r="C6" s="28" t="inlineStr">
        <is>
          <t>Past queries visible with timestamps</t>
        </is>
      </c>
      <c r="D6" s="26" t="inlineStr">
        <is>
          <t>⏳ PENDING</t>
        </is>
      </c>
      <c r="E6" s="28" t="inlineStr"/>
    </row>
    <row r="7" ht="28" customHeight="1">
      <c r="A7" s="5" t="n">
        <v>3</v>
      </c>
      <c r="B7" s="24" t="inlineStr">
        <is>
          <t>Status icons show ✓ or ✗</t>
        </is>
      </c>
      <c r="C7" s="25" t="inlineStr">
        <is>
          <t>Green tick for success, red cross for failure</t>
        </is>
      </c>
      <c r="D7" s="26" t="inlineStr">
        <is>
          <t>⏳ PENDING</t>
        </is>
      </c>
      <c r="E7" s="25" t="inlineStr"/>
    </row>
    <row r="8" ht="28" customHeight="1">
      <c r="A8" s="12" t="n">
        <v>4</v>
      </c>
      <c r="B8" s="27" t="inlineStr">
        <is>
          <t>Duration shown in ms</t>
        </is>
      </c>
      <c r="C8" s="28" t="inlineStr">
        <is>
          <t>Execution time visible per query</t>
        </is>
      </c>
      <c r="D8" s="26" t="inlineStr">
        <is>
          <t>⏳ PENDING</t>
        </is>
      </c>
      <c r="E8" s="28" t="inlineStr"/>
    </row>
    <row r="9" ht="28" customHeight="1">
      <c r="A9" s="5" t="n">
        <v>5</v>
      </c>
      <c r="B9" s="24" t="inlineStr">
        <is>
          <t>Search input filters log</t>
        </is>
      </c>
      <c r="C9" s="25" t="inlineStr">
        <is>
          <t>Typing narrows results</t>
        </is>
      </c>
      <c r="D9" s="26" t="inlineStr">
        <is>
          <t>⏳ PENDING</t>
        </is>
      </c>
      <c r="E9" s="25" t="inlineStr"/>
    </row>
    <row r="10" ht="28" customHeight="1">
      <c r="A10" s="12" t="n">
        <v>6</v>
      </c>
      <c r="B10" s="27" t="inlineStr">
        <is>
          <t>Row click shows full SQL in panel</t>
        </is>
      </c>
      <c r="C10" s="28" t="inlineStr">
        <is>
          <t>Side panel appears with complete SQL</t>
        </is>
      </c>
      <c r="D10" s="26" t="inlineStr">
        <is>
          <t>⏳ PENDING</t>
        </is>
      </c>
      <c r="E10" s="28" t="inlineStr"/>
    </row>
    <row r="11" ht="28" customHeight="1">
      <c r="A11" s="5" t="n">
        <v>7</v>
      </c>
      <c r="B11" s="24" t="inlineStr">
        <is>
          <t>"Open in Editor" button works</t>
        </is>
      </c>
      <c r="C11" s="25" t="inlineStr">
        <is>
          <t>SQL loads into new query tab</t>
        </is>
      </c>
      <c r="D11" s="26" t="inlineStr">
        <is>
          <t>⏳ PENDING</t>
        </is>
      </c>
      <c r="E11" s="25" t="inlineStr"/>
    </row>
    <row r="12" ht="28" customHeight="1">
      <c r="A12" s="12" t="n">
        <v>8</v>
      </c>
      <c r="B12" s="27" t="inlineStr">
        <is>
          <t>Log persists after app restart</t>
        </is>
      </c>
      <c r="C12" s="28" t="inlineStr">
        <is>
          <t>Close and reopen — queries still there</t>
        </is>
      </c>
      <c r="D12" s="26" t="inlineStr">
        <is>
          <t>⏳ PENDING</t>
        </is>
      </c>
      <c r="E12" s="28" t="inlineStr"/>
    </row>
    <row r="13" ht="28" customHeight="1">
      <c r="A13" s="5" t="n">
        <v>9</v>
      </c>
      <c r="B13" s="24" t="inlineStr">
        <is>
          <t>Clear Log with confirmation works</t>
        </is>
      </c>
      <c r="C13" s="25" t="inlineStr">
        <is>
          <t>Confirmation dialog before clearing</t>
        </is>
      </c>
      <c r="D13" s="26" t="inlineStr">
        <is>
          <t>⏳ PENDING</t>
        </is>
      </c>
      <c r="E13" s="25" t="inlineStr"/>
    </row>
    <row r="14" ht="20" customHeight="1">
      <c r="A14" s="4" t="inlineStr">
        <is>
          <t>SUMMARY</t>
        </is>
      </c>
      <c r="D14" s="29">
        <f>COUNTIF(D5:D13,"✅ PASS")&amp;" / "&amp;COUNTA(D5:D13)&amp;" passed"</f>
        <v/>
      </c>
      <c r="E14" s="21" t="inlineStr"/>
    </row>
  </sheetData>
  <mergeCells count="4">
    <mergeCell ref="A2:E2"/>
    <mergeCell ref="A1:E1"/>
    <mergeCell ref="A14:C14"/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14" customWidth="1" min="4" max="4"/>
    <col width="35" customWidth="1" min="5" max="5"/>
  </cols>
  <sheetData>
    <row r="1" ht="32" customHeight="1">
      <c r="A1" s="22" t="inlineStr">
        <is>
          <t>ONOBASE — Feature 13 — SSH Tunnel</t>
        </is>
      </c>
    </row>
    <row r="2" ht="16" customHeight="1">
      <c r="A2" s="23" t="inlineStr">
        <is>
          <t>Mark Result column: ✅ PASS  ❌ FAIL  ⏳ PENDING  |  Add notes in Notes column</t>
        </is>
      </c>
    </row>
    <row r="3" ht="6" customHeight="1">
      <c r="A3" s="3" t="n"/>
    </row>
    <row r="4" ht="20" customHeight="1">
      <c r="A4" s="4" t="inlineStr">
        <is>
          <t>#</t>
        </is>
      </c>
      <c r="B4" s="4" t="inlineStr">
        <is>
          <t>Test Description</t>
        </is>
      </c>
      <c r="C4" s="4" t="inlineStr">
        <is>
          <t>How to Test</t>
        </is>
      </c>
      <c r="D4" s="4" t="inlineStr">
        <is>
          <t>Result</t>
        </is>
      </c>
      <c r="E4" s="4" t="inlineStr">
        <is>
          <t>Notes / Bug Details</t>
        </is>
      </c>
    </row>
    <row r="5" ht="28" customHeight="1">
      <c r="A5" s="5" t="n">
        <v>1</v>
      </c>
      <c r="B5" s="24" t="inlineStr">
        <is>
          <t>ConnectDialog → SSH Tunnel tab visible</t>
        </is>
      </c>
      <c r="C5" s="25" t="inlineStr">
        <is>
          <t>Third tab present</t>
        </is>
      </c>
      <c r="D5" s="26" t="inlineStr">
        <is>
          <t>⏳ PENDING</t>
        </is>
      </c>
      <c r="E5" s="25" t="inlineStr"/>
    </row>
    <row r="6" ht="28" customHeight="1">
      <c r="A6" s="12" t="n">
        <v>2</v>
      </c>
      <c r="B6" s="27" t="inlineStr">
        <is>
          <t>"Use SSH Tunnel" toggle exists</t>
        </is>
      </c>
      <c r="C6" s="28" t="inlineStr">
        <is>
          <t>Checkbox/toggle to enable SSH</t>
        </is>
      </c>
      <c r="D6" s="26" t="inlineStr">
        <is>
          <t>⏳ PENDING</t>
        </is>
      </c>
      <c r="E6" s="28" t="inlineStr"/>
    </row>
    <row r="7" ht="28" customHeight="1">
      <c r="A7" s="5" t="n">
        <v>3</v>
      </c>
      <c r="B7" s="24" t="inlineStr">
        <is>
          <t>Toggle enables SSH fields</t>
        </is>
      </c>
      <c r="C7" s="25" t="inlineStr">
        <is>
          <t>Fields appear when toggle is ON</t>
        </is>
      </c>
      <c r="D7" s="26" t="inlineStr">
        <is>
          <t>⏳ PENDING</t>
        </is>
      </c>
      <c r="E7" s="25" t="inlineStr"/>
    </row>
    <row r="8" ht="28" customHeight="1">
      <c r="A8" s="12" t="n">
        <v>4</v>
      </c>
      <c r="B8" s="27" t="inlineStr">
        <is>
          <t>SSH Host / Port / Username fields present</t>
        </is>
      </c>
      <c r="C8" s="28" t="inlineStr">
        <is>
          <t>All three fields visible</t>
        </is>
      </c>
      <c r="D8" s="26" t="inlineStr">
        <is>
          <t>⏳ PENDING</t>
        </is>
      </c>
      <c r="E8" s="28" t="inlineStr"/>
    </row>
    <row r="9" ht="28" customHeight="1">
      <c r="A9" s="5" t="n">
        <v>5</v>
      </c>
      <c r="B9" s="24" t="inlineStr">
        <is>
          <t>Auth method selector: Password | Private Key</t>
        </is>
      </c>
      <c r="C9" s="25" t="inlineStr">
        <is>
          <t>Can switch between auth types</t>
        </is>
      </c>
      <c r="D9" s="26" t="inlineStr">
        <is>
          <t>⏳ PENDING</t>
        </is>
      </c>
      <c r="E9" s="25" t="inlineStr"/>
    </row>
    <row r="10" ht="28" customHeight="1">
      <c r="A10" s="12" t="n">
        <v>6</v>
      </c>
      <c r="B10" s="27" t="inlineStr">
        <is>
          <t>Private Key has Browse button</t>
        </is>
      </c>
      <c r="C10" s="28" t="inlineStr">
        <is>
          <t>File picker opens on Browse click</t>
        </is>
      </c>
      <c r="D10" s="26" t="inlineStr">
        <is>
          <t>⏳ PENDING</t>
        </is>
      </c>
      <c r="E10" s="28" t="inlineStr"/>
    </row>
    <row r="11" ht="28" customHeight="1">
      <c r="A11" s="5" t="n">
        <v>7</v>
      </c>
      <c r="B11" s="24" t="inlineStr">
        <is>
          <t>StatusBar shows 🔒 SSH when tunnel active</t>
        </is>
      </c>
      <c r="C11" s="25" t="inlineStr">
        <is>
          <t>Indicator visible in status bar</t>
        </is>
      </c>
      <c r="D11" s="26" t="inlineStr">
        <is>
          <t>⏳ PENDING</t>
        </is>
      </c>
      <c r="E11" s="25" t="inlineStr"/>
    </row>
    <row r="12" ht="20" customHeight="1">
      <c r="A12" s="4" t="inlineStr">
        <is>
          <t>SUMMARY</t>
        </is>
      </c>
      <c r="D12" s="29">
        <f>COUNTIF(D5:D11,"✅ PASS")&amp;" / "&amp;COUNTA(D5:D11)&amp;" passed"</f>
        <v/>
      </c>
      <c r="E12" s="21" t="inlineStr"/>
    </row>
  </sheetData>
  <mergeCells count="4">
    <mergeCell ref="A2:E2"/>
    <mergeCell ref="A1:E1"/>
    <mergeCell ref="A12:C12"/>
    <mergeCell ref="A3: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14" customWidth="1" min="4" max="4"/>
    <col width="35" customWidth="1" min="5" max="5"/>
  </cols>
  <sheetData>
    <row r="1" ht="32" customHeight="1">
      <c r="A1" s="22" t="inlineStr">
        <is>
          <t>ONOBASE — Feature 14 — Connection Manager</t>
        </is>
      </c>
    </row>
    <row r="2" ht="16" customHeight="1">
      <c r="A2" s="23" t="inlineStr">
        <is>
          <t>Mark Result column: ✅ PASS  ❌ FAIL  ⏳ PENDING  |  Add notes in Notes column</t>
        </is>
      </c>
    </row>
    <row r="3" ht="6" customHeight="1">
      <c r="A3" s="3" t="n"/>
    </row>
    <row r="4" ht="20" customHeight="1">
      <c r="A4" s="4" t="inlineStr">
        <is>
          <t>#</t>
        </is>
      </c>
      <c r="B4" s="4" t="inlineStr">
        <is>
          <t>Test Description</t>
        </is>
      </c>
      <c r="C4" s="4" t="inlineStr">
        <is>
          <t>How to Test</t>
        </is>
      </c>
      <c r="D4" s="4" t="inlineStr">
        <is>
          <t>Result</t>
        </is>
      </c>
      <c r="E4" s="4" t="inlineStr">
        <is>
          <t>Notes / Bug Details</t>
        </is>
      </c>
    </row>
    <row r="5" ht="28" customHeight="1">
      <c r="A5" s="5" t="n">
        <v>1</v>
      </c>
      <c r="B5" s="24" t="inlineStr">
        <is>
          <t>Server toolbar button opens Connection Manager</t>
        </is>
      </c>
      <c r="C5" s="25" t="inlineStr">
        <is>
          <t>Tab appears</t>
        </is>
      </c>
      <c r="D5" s="26" t="inlineStr">
        <is>
          <t>⏳ PENDING</t>
        </is>
      </c>
      <c r="E5" s="25" t="inlineStr"/>
    </row>
    <row r="6" ht="28" customHeight="1">
      <c r="A6" s="12" t="n">
        <v>2</v>
      </c>
      <c r="B6" s="27" t="inlineStr">
        <is>
          <t>Left panel shows groups tree</t>
        </is>
      </c>
      <c r="C6" s="28" t="inlineStr">
        <is>
          <t>Group list visible</t>
        </is>
      </c>
      <c r="D6" s="26" t="inlineStr">
        <is>
          <t>⏳ PENDING</t>
        </is>
      </c>
      <c r="E6" s="28" t="inlineStr"/>
    </row>
    <row r="7" ht="28" customHeight="1">
      <c r="A7" s="5" t="n">
        <v>3</v>
      </c>
      <c r="B7" s="24" t="inlineStr">
        <is>
          <t>"+ New Group" button works</t>
        </is>
      </c>
      <c r="C7" s="25" t="inlineStr">
        <is>
          <t>Creates new group in tree</t>
        </is>
      </c>
      <c r="D7" s="26" t="inlineStr">
        <is>
          <t>⏳ PENDING</t>
        </is>
      </c>
      <c r="E7" s="25" t="inlineStr"/>
    </row>
    <row r="8" ht="28" customHeight="1">
      <c r="A8" s="12" t="n">
        <v>4</v>
      </c>
      <c r="B8" s="27" t="inlineStr">
        <is>
          <t>Right-click group → rename works</t>
        </is>
      </c>
      <c r="C8" s="28" t="inlineStr">
        <is>
          <t>Can rename group inline</t>
        </is>
      </c>
      <c r="D8" s="26" t="inlineStr">
        <is>
          <t>⏳ PENDING</t>
        </is>
      </c>
      <c r="E8" s="28" t="inlineStr"/>
    </row>
    <row r="9" ht="28" customHeight="1">
      <c r="A9" s="5" t="n">
        <v>5</v>
      </c>
      <c r="B9" s="24" t="inlineStr">
        <is>
          <t>Right-click group → delete works</t>
        </is>
      </c>
      <c r="C9" s="25" t="inlineStr">
        <is>
          <t>Group removed after confirm</t>
        </is>
      </c>
      <c r="D9" s="26" t="inlineStr">
        <is>
          <t>⏳ PENDING</t>
        </is>
      </c>
      <c r="E9" s="25" t="inlineStr"/>
    </row>
    <row r="10" ht="28" customHeight="1">
      <c r="A10" s="12" t="n">
        <v>6</v>
      </c>
      <c r="B10" s="27" t="inlineStr">
        <is>
          <t>Right-click group → change colour works</t>
        </is>
      </c>
      <c r="C10" s="28" t="inlineStr">
        <is>
          <t>Colour picker for group appears</t>
        </is>
      </c>
      <c r="D10" s="26" t="inlineStr">
        <is>
          <t>⏳ PENDING</t>
        </is>
      </c>
      <c r="E10" s="28" t="inlineStr"/>
    </row>
    <row r="11" ht="28" customHeight="1">
      <c r="A11" s="5" t="n">
        <v>7</v>
      </c>
      <c r="B11" s="24" t="inlineStr">
        <is>
          <t>Connections list for selected group</t>
        </is>
      </c>
      <c r="C11" s="25" t="inlineStr">
        <is>
          <t>Right panel shows connections in group</t>
        </is>
      </c>
      <c r="D11" s="26" t="inlineStr">
        <is>
          <t>⏳ PENDING</t>
        </is>
      </c>
      <c r="E11" s="25" t="inlineStr"/>
    </row>
    <row r="12" ht="28" customHeight="1">
      <c r="A12" s="12" t="n">
        <v>8</v>
      </c>
      <c r="B12" s="27" t="inlineStr">
        <is>
          <t>Connect button per row works</t>
        </is>
      </c>
      <c r="C12" s="28" t="inlineStr">
        <is>
          <t>Connects to that saved connection</t>
        </is>
      </c>
      <c r="D12" s="26" t="inlineStr">
        <is>
          <t>⏳ PENDING</t>
        </is>
      </c>
      <c r="E12" s="28" t="inlineStr"/>
    </row>
    <row r="13" ht="20" customHeight="1">
      <c r="A13" s="4" t="inlineStr">
        <is>
          <t>SUMMARY</t>
        </is>
      </c>
      <c r="D13" s="29">
        <f>COUNTIF(D5:D12,"✅ PASS")&amp;" / "&amp;COUNTA(D5:D12)&amp;" passed"</f>
        <v/>
      </c>
      <c r="E13" s="21" t="inlineStr"/>
    </row>
  </sheetData>
  <mergeCells count="4">
    <mergeCell ref="A2:E2"/>
    <mergeCell ref="A1:E1"/>
    <mergeCell ref="A13:C13"/>
    <mergeCell ref="A3: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14" customWidth="1" min="4" max="4"/>
    <col width="35" customWidth="1" min="5" max="5"/>
  </cols>
  <sheetData>
    <row r="1" ht="32" customHeight="1">
      <c r="A1" s="22" t="inlineStr">
        <is>
          <t>ONOBASE — Feature 15 — Themes</t>
        </is>
      </c>
    </row>
    <row r="2" ht="16" customHeight="1">
      <c r="A2" s="23" t="inlineStr">
        <is>
          <t>Mark Result column: ✅ PASS  ❌ FAIL  ⏳ PENDING  |  Add notes in Notes column</t>
        </is>
      </c>
    </row>
    <row r="3" ht="6" customHeight="1">
      <c r="A3" s="3" t="n"/>
    </row>
    <row r="4" ht="20" customHeight="1">
      <c r="A4" s="4" t="inlineStr">
        <is>
          <t>#</t>
        </is>
      </c>
      <c r="B4" s="4" t="inlineStr">
        <is>
          <t>Test Description</t>
        </is>
      </c>
      <c r="C4" s="4" t="inlineStr">
        <is>
          <t>How to Test</t>
        </is>
      </c>
      <c r="D4" s="4" t="inlineStr">
        <is>
          <t>Result</t>
        </is>
      </c>
      <c r="E4" s="4" t="inlineStr">
        <is>
          <t>Notes / Bug Details</t>
        </is>
      </c>
    </row>
    <row r="5" ht="28" customHeight="1">
      <c r="A5" s="5" t="n">
        <v>1</v>
      </c>
      <c r="B5" s="24" t="inlineStr">
        <is>
          <t>Settings panel has Appearance section</t>
        </is>
      </c>
      <c r="C5" s="25" t="inlineStr">
        <is>
          <t>Section visible in Settings</t>
        </is>
      </c>
      <c r="D5" s="26" t="inlineStr">
        <is>
          <t>⏳ PENDING</t>
        </is>
      </c>
      <c r="E5" s="25" t="inlineStr"/>
    </row>
    <row r="6" ht="28" customHeight="1">
      <c r="A6" s="12" t="n">
        <v>2</v>
      </c>
      <c r="B6" s="27" t="inlineStr">
        <is>
          <t>Dark theme card visible</t>
        </is>
      </c>
      <c r="C6" s="28" t="inlineStr">
        <is>
          <t>Card with 3 colour dots + name</t>
        </is>
      </c>
      <c r="D6" s="26" t="inlineStr">
        <is>
          <t>⏳ PENDING</t>
        </is>
      </c>
      <c r="E6" s="28" t="inlineStr"/>
    </row>
    <row r="7" ht="28" customHeight="1">
      <c r="A7" s="5" t="n">
        <v>3</v>
      </c>
      <c r="B7" s="24" t="inlineStr">
        <is>
          <t>Midnight Blue theme card visible</t>
        </is>
      </c>
      <c r="C7" s="25" t="inlineStr">
        <is>
          <t>Card present</t>
        </is>
      </c>
      <c r="D7" s="26" t="inlineStr">
        <is>
          <t>⏳ PENDING</t>
        </is>
      </c>
      <c r="E7" s="25" t="inlineStr"/>
    </row>
    <row r="8" ht="28" customHeight="1">
      <c r="A8" s="12" t="n">
        <v>4</v>
      </c>
      <c r="B8" s="27" t="inlineStr">
        <is>
          <t>Forest theme card visible</t>
        </is>
      </c>
      <c r="C8" s="28" t="inlineStr">
        <is>
          <t>Card present</t>
        </is>
      </c>
      <c r="D8" s="26" t="inlineStr">
        <is>
          <t>⏳ PENDING</t>
        </is>
      </c>
      <c r="E8" s="28" t="inlineStr"/>
    </row>
    <row r="9" ht="28" customHeight="1">
      <c r="A9" s="5" t="n">
        <v>5</v>
      </c>
      <c r="B9" s="24" t="inlineStr">
        <is>
          <t>Ocean theme card visible</t>
        </is>
      </c>
      <c r="C9" s="25" t="inlineStr">
        <is>
          <t>Card present</t>
        </is>
      </c>
      <c r="D9" s="26" t="inlineStr">
        <is>
          <t>⏳ PENDING</t>
        </is>
      </c>
      <c r="E9" s="25" t="inlineStr"/>
    </row>
    <row r="10" ht="28" customHeight="1">
      <c r="A10" s="12" t="n">
        <v>6</v>
      </c>
      <c r="B10" s="27" t="inlineStr">
        <is>
          <t>Light theme card visible</t>
        </is>
      </c>
      <c r="C10" s="28" t="inlineStr">
        <is>
          <t>Card present</t>
        </is>
      </c>
      <c r="D10" s="26" t="inlineStr">
        <is>
          <t>⏳ PENDING</t>
        </is>
      </c>
      <c r="E10" s="28" t="inlineStr"/>
    </row>
    <row r="11" ht="28" customHeight="1">
      <c r="A11" s="5" t="n">
        <v>7</v>
      </c>
      <c r="B11" s="24" t="inlineStr">
        <is>
          <t>Clicking theme updates UI immediately</t>
        </is>
      </c>
      <c r="C11" s="25" t="inlineStr">
        <is>
          <t>No reload — entire app changes</t>
        </is>
      </c>
      <c r="D11" s="26" t="inlineStr">
        <is>
          <t>⏳ PENDING</t>
        </is>
      </c>
      <c r="E11" s="25" t="inlineStr"/>
    </row>
    <row r="12" ht="28" customHeight="1">
      <c r="A12" s="12" t="n">
        <v>8</v>
      </c>
      <c r="B12" s="27" t="inlineStr">
        <is>
          <t>Theme persists after app restart</t>
        </is>
      </c>
      <c r="C12" s="28" t="inlineStr">
        <is>
          <t>Close and reopen — theme remembered</t>
        </is>
      </c>
      <c r="D12" s="26" t="inlineStr">
        <is>
          <t>⏳ PENDING</t>
        </is>
      </c>
      <c r="E12" s="28" t="inlineStr"/>
    </row>
    <row r="13" ht="20" customHeight="1">
      <c r="A13" s="4" t="inlineStr">
        <is>
          <t>SUMMARY</t>
        </is>
      </c>
      <c r="D13" s="29">
        <f>COUNTIF(D5:D12,"✅ PASS")&amp;" / "&amp;COUNTA(D5:D12)&amp;" passed"</f>
        <v/>
      </c>
      <c r="E13" s="21" t="inlineStr"/>
    </row>
  </sheetData>
  <mergeCells count="4">
    <mergeCell ref="A2:E2"/>
    <mergeCell ref="A1:E1"/>
    <mergeCell ref="A13:C13"/>
    <mergeCell ref="A3:E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14" customWidth="1" min="4" max="4"/>
    <col width="35" customWidth="1" min="5" max="5"/>
  </cols>
  <sheetData>
    <row r="1" ht="32" customHeight="1">
      <c r="A1" s="22" t="inlineStr">
        <is>
          <t>ONOBASE — Feature 16 — Query Bookmarks</t>
        </is>
      </c>
    </row>
    <row r="2" ht="16" customHeight="1">
      <c r="A2" s="23" t="inlineStr">
        <is>
          <t>Mark Result column: ✅ PASS  ❌ FAIL  ⏳ PENDING  |  Add notes in Notes column</t>
        </is>
      </c>
    </row>
    <row r="3" ht="6" customHeight="1">
      <c r="A3" s="3" t="n"/>
    </row>
    <row r="4" ht="20" customHeight="1">
      <c r="A4" s="4" t="inlineStr">
        <is>
          <t>#</t>
        </is>
      </c>
      <c r="B4" s="4" t="inlineStr">
        <is>
          <t>Test Description</t>
        </is>
      </c>
      <c r="C4" s="4" t="inlineStr">
        <is>
          <t>How to Test</t>
        </is>
      </c>
      <c r="D4" s="4" t="inlineStr">
        <is>
          <t>Result</t>
        </is>
      </c>
      <c r="E4" s="4" t="inlineStr">
        <is>
          <t>Notes / Bug Details</t>
        </is>
      </c>
    </row>
    <row r="5" ht="28" customHeight="1">
      <c r="A5" s="5" t="n">
        <v>1</v>
      </c>
      <c r="B5" s="24" t="inlineStr">
        <is>
          <t>Bookmark icon in QueryEditor toolbar</t>
        </is>
      </c>
      <c r="C5" s="25" t="inlineStr">
        <is>
          <t>Icon visible</t>
        </is>
      </c>
      <c r="D5" s="26" t="inlineStr">
        <is>
          <t>⏳ PENDING</t>
        </is>
      </c>
      <c r="E5" s="25" t="inlineStr"/>
    </row>
    <row r="6" ht="28" customHeight="1">
      <c r="A6" s="12" t="n">
        <v>2</v>
      </c>
      <c r="B6" s="27" t="inlineStr">
        <is>
          <t>Click bookmark → name prompt appears</t>
        </is>
      </c>
      <c r="C6" s="28" t="inlineStr">
        <is>
          <t>Input asks for bookmark name</t>
        </is>
      </c>
      <c r="D6" s="26" t="inlineStr">
        <is>
          <t>⏳ PENDING</t>
        </is>
      </c>
      <c r="E6" s="28" t="inlineStr"/>
    </row>
    <row r="7" ht="28" customHeight="1">
      <c r="A7" s="5" t="n">
        <v>3</v>
      </c>
      <c r="B7" s="24" t="inlineStr">
        <is>
          <t>Bookmarked query shows filled icon</t>
        </is>
      </c>
      <c r="C7" s="25" t="inlineStr">
        <is>
          <t>Icon changes to indicate saved</t>
        </is>
      </c>
      <c r="D7" s="26" t="inlineStr">
        <is>
          <t>⏳ PENDING</t>
        </is>
      </c>
      <c r="E7" s="25" t="inlineStr"/>
    </row>
    <row r="8" ht="28" customHeight="1">
      <c r="A8" s="12" t="n">
        <v>4</v>
      </c>
      <c r="B8" s="27" t="inlineStr">
        <is>
          <t>Bookmarks panel/sidebar accessible</t>
        </is>
      </c>
      <c r="C8" s="28" t="inlineStr">
        <is>
          <t>Can open list of all bookmarks</t>
        </is>
      </c>
      <c r="D8" s="26" t="inlineStr">
        <is>
          <t>⏳ PENDING</t>
        </is>
      </c>
      <c r="E8" s="28" t="inlineStr"/>
    </row>
    <row r="9" ht="28" customHeight="1">
      <c r="A9" s="5" t="n">
        <v>5</v>
      </c>
      <c r="B9" s="24" t="inlineStr">
        <is>
          <t>Bookmark list shows name + tags</t>
        </is>
      </c>
      <c r="C9" s="25" t="inlineStr">
        <is>
          <t>Details visible per bookmark</t>
        </is>
      </c>
      <c r="D9" s="26" t="inlineStr">
        <is>
          <t>⏳ PENDING</t>
        </is>
      </c>
      <c r="E9" s="25" t="inlineStr"/>
    </row>
    <row r="10" ht="28" customHeight="1">
      <c r="A10" s="12" t="n">
        <v>6</v>
      </c>
      <c r="B10" s="27" t="inlineStr">
        <is>
          <t>Clicking bookmark loads SQL in editor</t>
        </is>
      </c>
      <c r="C10" s="28" t="inlineStr">
        <is>
          <t>SQL populates active editor</t>
        </is>
      </c>
      <c r="D10" s="26" t="inlineStr">
        <is>
          <t>⏳ PENDING</t>
        </is>
      </c>
      <c r="E10" s="28" t="inlineStr"/>
    </row>
    <row r="11" ht="28" customHeight="1">
      <c r="A11" s="5" t="n">
        <v>7</v>
      </c>
      <c r="B11" s="24" t="inlineStr">
        <is>
          <t>Click filled icon removes bookmark</t>
        </is>
      </c>
      <c r="C11" s="25" t="inlineStr">
        <is>
          <t>Removed from list</t>
        </is>
      </c>
      <c r="D11" s="26" t="inlineStr">
        <is>
          <t>⏳ PENDING</t>
        </is>
      </c>
      <c r="E11" s="25" t="inlineStr"/>
    </row>
    <row r="12" ht="28" customHeight="1">
      <c r="A12" s="12" t="n">
        <v>8</v>
      </c>
      <c r="B12" s="27" t="inlineStr">
        <is>
          <t>Bookmarks persist after restart</t>
        </is>
      </c>
      <c r="C12" s="28" t="inlineStr">
        <is>
          <t>Still present after close/reopen</t>
        </is>
      </c>
      <c r="D12" s="26" t="inlineStr">
        <is>
          <t>⏳ PENDING</t>
        </is>
      </c>
      <c r="E12" s="28" t="inlineStr"/>
    </row>
    <row r="13" ht="20" customHeight="1">
      <c r="A13" s="4" t="inlineStr">
        <is>
          <t>SUMMARY</t>
        </is>
      </c>
      <c r="D13" s="29">
        <f>COUNTIF(D5:D12,"✅ PASS")&amp;" / "&amp;COUNTA(D5:D12)&amp;" passed"</f>
        <v/>
      </c>
      <c r="E13" s="21" t="inlineStr"/>
    </row>
  </sheetData>
  <mergeCells count="4">
    <mergeCell ref="A2:E2"/>
    <mergeCell ref="A1:E1"/>
    <mergeCell ref="A13:C13"/>
    <mergeCell ref="A3:E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14" customWidth="1" min="4" max="4"/>
    <col width="35" customWidth="1" min="5" max="5"/>
  </cols>
  <sheetData>
    <row r="1" ht="32" customHeight="1">
      <c r="A1" s="22" t="inlineStr">
        <is>
          <t>ONOBASE — Feature 17 — Result Charts</t>
        </is>
      </c>
    </row>
    <row r="2" ht="16" customHeight="1">
      <c r="A2" s="23" t="inlineStr">
        <is>
          <t>Mark Result column: ✅ PASS  ❌ FAIL  ⏳ PENDING  |  Add notes in Notes column</t>
        </is>
      </c>
    </row>
    <row r="3" ht="6" customHeight="1">
      <c r="A3" s="3" t="n"/>
    </row>
    <row r="4" ht="20" customHeight="1">
      <c r="A4" s="4" t="inlineStr">
        <is>
          <t>#</t>
        </is>
      </c>
      <c r="B4" s="4" t="inlineStr">
        <is>
          <t>Test Description</t>
        </is>
      </c>
      <c r="C4" s="4" t="inlineStr">
        <is>
          <t>How to Test</t>
        </is>
      </c>
      <c r="D4" s="4" t="inlineStr">
        <is>
          <t>Result</t>
        </is>
      </c>
      <c r="E4" s="4" t="inlineStr">
        <is>
          <t>Notes / Bug Details</t>
        </is>
      </c>
    </row>
    <row r="5" ht="28" customHeight="1">
      <c r="A5" s="5" t="n">
        <v>1</v>
      </c>
      <c r="B5" s="24" t="inlineStr">
        <is>
          <t>Run a SELECT query → Chart tab appears</t>
        </is>
      </c>
      <c r="C5" s="25" t="inlineStr">
        <is>
          <t>Tab visible alongside Results tab</t>
        </is>
      </c>
      <c r="D5" s="26" t="inlineStr">
        <is>
          <t>⏳ PENDING</t>
        </is>
      </c>
      <c r="E5" s="25" t="inlineStr"/>
    </row>
    <row r="6" ht="28" customHeight="1">
      <c r="A6" s="12" t="n">
        <v>2</v>
      </c>
      <c r="B6" s="27" t="inlineStr">
        <is>
          <t>Chart type selector: Bar/Line/Pie</t>
        </is>
      </c>
      <c r="C6" s="28" t="inlineStr">
        <is>
          <t>Can switch between chart types</t>
        </is>
      </c>
      <c r="D6" s="26" t="inlineStr">
        <is>
          <t>⏳ PENDING</t>
        </is>
      </c>
      <c r="E6" s="28" t="inlineStr"/>
    </row>
    <row r="7" ht="28" customHeight="1">
      <c r="A7" s="5" t="n">
        <v>3</v>
      </c>
      <c r="B7" s="24" t="inlineStr">
        <is>
          <t>Bar chart renders correctly</t>
        </is>
      </c>
      <c r="C7" s="25" t="inlineStr">
        <is>
          <t>Bars visible with data</t>
        </is>
      </c>
      <c r="D7" s="26" t="inlineStr">
        <is>
          <t>⏳ PENDING</t>
        </is>
      </c>
      <c r="E7" s="25" t="inlineStr"/>
    </row>
    <row r="8" ht="28" customHeight="1">
      <c r="A8" s="12" t="n">
        <v>4</v>
      </c>
      <c r="B8" s="27" t="inlineStr">
        <is>
          <t>Line chart renders correctly</t>
        </is>
      </c>
      <c r="C8" s="28" t="inlineStr">
        <is>
          <t>Line visible with data points</t>
        </is>
      </c>
      <c r="D8" s="26" t="inlineStr">
        <is>
          <t>⏳ PENDING</t>
        </is>
      </c>
      <c r="E8" s="28" t="inlineStr"/>
    </row>
    <row r="9" ht="28" customHeight="1">
      <c r="A9" s="5" t="n">
        <v>5</v>
      </c>
      <c r="B9" s="24" t="inlineStr">
        <is>
          <t>Pie chart renders correctly</t>
        </is>
      </c>
      <c r="C9" s="25" t="inlineStr">
        <is>
          <t>Slices visible with labels</t>
        </is>
      </c>
      <c r="D9" s="26" t="inlineStr">
        <is>
          <t>⏳ PENDING</t>
        </is>
      </c>
      <c r="E9" s="25" t="inlineStr"/>
    </row>
    <row r="10" ht="28" customHeight="1">
      <c r="A10" s="12" t="n">
        <v>6</v>
      </c>
      <c r="B10" s="27" t="inlineStr">
        <is>
          <t>X axis column selector works</t>
        </is>
      </c>
      <c r="C10" s="28" t="inlineStr">
        <is>
          <t>Changing X updates chart</t>
        </is>
      </c>
      <c r="D10" s="26" t="inlineStr">
        <is>
          <t>⏳ PENDING</t>
        </is>
      </c>
      <c r="E10" s="28" t="inlineStr"/>
    </row>
    <row r="11" ht="28" customHeight="1">
      <c r="A11" s="5" t="n">
        <v>7</v>
      </c>
      <c r="B11" s="24" t="inlineStr">
        <is>
          <t>Y axis column selector works</t>
        </is>
      </c>
      <c r="C11" s="25" t="inlineStr">
        <is>
          <t>Changing Y updates chart</t>
        </is>
      </c>
      <c r="D11" s="26" t="inlineStr">
        <is>
          <t>⏳ PENDING</t>
        </is>
      </c>
      <c r="E11" s="25" t="inlineStr"/>
    </row>
    <row r="12" ht="20" customHeight="1">
      <c r="A12" s="4" t="inlineStr">
        <is>
          <t>SUMMARY</t>
        </is>
      </c>
      <c r="D12" s="29">
        <f>COUNTIF(D5:D11,"✅ PASS")&amp;" / "&amp;COUNTA(D5:D11)&amp;" passed"</f>
        <v/>
      </c>
      <c r="E12" s="21" t="inlineStr"/>
    </row>
  </sheetData>
  <mergeCells count="4">
    <mergeCell ref="A2:E2"/>
    <mergeCell ref="A1:E1"/>
    <mergeCell ref="A12:C12"/>
    <mergeCell ref="A3:E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14" customWidth="1" min="4" max="4"/>
    <col width="35" customWidth="1" min="5" max="5"/>
  </cols>
  <sheetData>
    <row r="1" ht="32" customHeight="1">
      <c r="A1" s="22" t="inlineStr">
        <is>
          <t>ONOBASE — Feature 18 — Cell / JSON Viewer</t>
        </is>
      </c>
    </row>
    <row r="2" ht="16" customHeight="1">
      <c r="A2" s="23" t="inlineStr">
        <is>
          <t>Mark Result column: ✅ PASS  ❌ FAIL  ⏳ PENDING  |  Add notes in Notes column</t>
        </is>
      </c>
    </row>
    <row r="3" ht="6" customHeight="1">
      <c r="A3" s="3" t="n"/>
    </row>
    <row r="4" ht="20" customHeight="1">
      <c r="A4" s="4" t="inlineStr">
        <is>
          <t>#</t>
        </is>
      </c>
      <c r="B4" s="4" t="inlineStr">
        <is>
          <t>Test Description</t>
        </is>
      </c>
      <c r="C4" s="4" t="inlineStr">
        <is>
          <t>How to Test</t>
        </is>
      </c>
      <c r="D4" s="4" t="inlineStr">
        <is>
          <t>Result</t>
        </is>
      </c>
      <c r="E4" s="4" t="inlineStr">
        <is>
          <t>Notes / Bug Details</t>
        </is>
      </c>
    </row>
    <row r="5" ht="28" customHeight="1">
      <c r="A5" s="5" t="n">
        <v>1</v>
      </c>
      <c r="B5" s="24" t="inlineStr">
        <is>
          <t>Double-click JSON cell → tree viewer opens</t>
        </is>
      </c>
      <c r="C5" s="25" t="inlineStr">
        <is>
          <t>Collapsible JSON tree shown</t>
        </is>
      </c>
      <c r="D5" s="26" t="inlineStr">
        <is>
          <t>⏳ PENDING</t>
        </is>
      </c>
      <c r="E5" s="25" t="inlineStr"/>
    </row>
    <row r="6" ht="28" customHeight="1">
      <c r="A6" s="12" t="n">
        <v>2</v>
      </c>
      <c r="B6" s="27" t="inlineStr">
        <is>
          <t>JSON tree is expandable/collapsible</t>
        </is>
      </c>
      <c r="C6" s="28" t="inlineStr">
        <is>
          <t>Can expand nested objects</t>
        </is>
      </c>
      <c r="D6" s="26" t="inlineStr">
        <is>
          <t>⏳ PENDING</t>
        </is>
      </c>
      <c r="E6" s="28" t="inlineStr"/>
    </row>
    <row r="7" ht="28" customHeight="1">
      <c r="A7" s="5" t="n">
        <v>3</v>
      </c>
      <c r="B7" s="24" t="inlineStr">
        <is>
          <t>Double-click XML cell → formatted XML shown</t>
        </is>
      </c>
      <c r="C7" s="25" t="inlineStr">
        <is>
          <t>Indented XML displayed</t>
        </is>
      </c>
      <c r="D7" s="26" t="inlineStr">
        <is>
          <t>⏳ PENDING</t>
        </is>
      </c>
      <c r="E7" s="25" t="inlineStr"/>
    </row>
    <row r="8" ht="28" customHeight="1">
      <c r="A8" s="12" t="n">
        <v>4</v>
      </c>
      <c r="B8" s="27" t="inlineStr">
        <is>
          <t>Double-click base64 image → image preview</t>
        </is>
      </c>
      <c r="C8" s="28" t="inlineStr">
        <is>
          <t>Image renders in viewer</t>
        </is>
      </c>
      <c r="D8" s="26" t="inlineStr">
        <is>
          <t>⏳ PENDING</t>
        </is>
      </c>
      <c r="E8" s="28" t="inlineStr"/>
    </row>
    <row r="9" ht="28" customHeight="1">
      <c r="A9" s="5" t="n">
        <v>5</v>
      </c>
      <c r="B9" s="24" t="inlineStr">
        <is>
          <t>Copy button copies raw value</t>
        </is>
      </c>
      <c r="C9" s="25" t="inlineStr">
        <is>
          <t>Clipboard receives cell contents</t>
        </is>
      </c>
      <c r="D9" s="26" t="inlineStr">
        <is>
          <t>⏳ PENDING</t>
        </is>
      </c>
      <c r="E9" s="25" t="inlineStr"/>
    </row>
    <row r="10" ht="28" customHeight="1">
      <c r="A10" s="12" t="n">
        <v>6</v>
      </c>
      <c r="B10" s="27" t="inlineStr">
        <is>
          <t>Viewer closes cleanly</t>
        </is>
      </c>
      <c r="C10" s="28" t="inlineStr">
        <is>
          <t>ESC or X closes without issues</t>
        </is>
      </c>
      <c r="D10" s="26" t="inlineStr">
        <is>
          <t>⏳ PENDING</t>
        </is>
      </c>
      <c r="E10" s="28" t="inlineStr"/>
    </row>
    <row r="11" ht="20" customHeight="1">
      <c r="A11" s="4" t="inlineStr">
        <is>
          <t>SUMMARY</t>
        </is>
      </c>
      <c r="D11" s="29">
        <f>COUNTIF(D5:D10,"✅ PASS")&amp;" / "&amp;COUNTA(D5:D10)&amp;" passed"</f>
        <v/>
      </c>
      <c r="E11" s="21" t="inlineStr"/>
    </row>
  </sheetData>
  <mergeCells count="4">
    <mergeCell ref="A2:E2"/>
    <mergeCell ref="A1:E1"/>
    <mergeCell ref="A11:C11"/>
    <mergeCell ref="A3:E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14" customWidth="1" min="4" max="4"/>
    <col width="35" customWidth="1" min="5" max="5"/>
  </cols>
  <sheetData>
    <row r="1" ht="32" customHeight="1">
      <c r="A1" s="22" t="inlineStr">
        <is>
          <t>ONOBASE — Feature 19 — Health Dashboard</t>
        </is>
      </c>
    </row>
    <row r="2" ht="16" customHeight="1">
      <c r="A2" s="23" t="inlineStr">
        <is>
          <t>Mark Result column: ✅ PASS  ❌ FAIL  ⏳ PENDING  |  Add notes in Notes column</t>
        </is>
      </c>
    </row>
    <row r="3" ht="6" customHeight="1">
      <c r="A3" s="3" t="n"/>
    </row>
    <row r="4" ht="20" customHeight="1">
      <c r="A4" s="4" t="inlineStr">
        <is>
          <t>#</t>
        </is>
      </c>
      <c r="B4" s="4" t="inlineStr">
        <is>
          <t>Test Description</t>
        </is>
      </c>
      <c r="C4" s="4" t="inlineStr">
        <is>
          <t>How to Test</t>
        </is>
      </c>
      <c r="D4" s="4" t="inlineStr">
        <is>
          <t>Result</t>
        </is>
      </c>
      <c r="E4" s="4" t="inlineStr">
        <is>
          <t>Notes / Bug Details</t>
        </is>
      </c>
    </row>
    <row r="5" ht="28" customHeight="1">
      <c r="A5" s="5" t="n">
        <v>1</v>
      </c>
      <c r="B5" s="24" t="inlineStr">
        <is>
          <t>HeartPulse toolbar button opens Health tab</t>
        </is>
      </c>
      <c r="C5" s="25" t="inlineStr">
        <is>
          <t>Tab appears</t>
        </is>
      </c>
      <c r="D5" s="26" t="inlineStr">
        <is>
          <t>⏳ PENDING</t>
        </is>
      </c>
      <c r="E5" s="25" t="inlineStr"/>
    </row>
    <row r="6" ht="28" customHeight="1">
      <c r="A6" s="12" t="n">
        <v>2</v>
      </c>
      <c r="B6" s="27" t="inlineStr">
        <is>
          <t>DB Size metric card loads</t>
        </is>
      </c>
      <c r="C6" s="28" t="inlineStr">
        <is>
          <t>Shows database size value</t>
        </is>
      </c>
      <c r="D6" s="26" t="inlineStr">
        <is>
          <t>⏳ PENDING</t>
        </is>
      </c>
      <c r="E6" s="28" t="inlineStr"/>
    </row>
    <row r="7" ht="28" customHeight="1">
      <c r="A7" s="5" t="n">
        <v>3</v>
      </c>
      <c r="B7" s="24" t="inlineStr">
        <is>
          <t>Active Connections metric card loads</t>
        </is>
      </c>
      <c r="C7" s="25" t="inlineStr">
        <is>
          <t>Shows connection count</t>
        </is>
      </c>
      <c r="D7" s="26" t="inlineStr">
        <is>
          <t>⏳ PENDING</t>
        </is>
      </c>
      <c r="E7" s="25" t="inlineStr"/>
    </row>
    <row r="8" ht="28" customHeight="1">
      <c r="A8" s="12" t="n">
        <v>4</v>
      </c>
      <c r="B8" s="27" t="inlineStr">
        <is>
          <t>Cache Hit Rate metric card loads</t>
        </is>
      </c>
      <c r="C8" s="28" t="inlineStr">
        <is>
          <t>Shows percentage value</t>
        </is>
      </c>
      <c r="D8" s="26" t="inlineStr">
        <is>
          <t>⏳ PENDING</t>
        </is>
      </c>
      <c r="E8" s="28" t="inlineStr"/>
    </row>
    <row r="9" ht="28" customHeight="1">
      <c r="A9" s="5" t="n">
        <v>5</v>
      </c>
      <c r="B9" s="24" t="inlineStr">
        <is>
          <t>Tables count metric card loads</t>
        </is>
      </c>
      <c r="C9" s="25" t="inlineStr">
        <is>
          <t>Shows number of tables</t>
        </is>
      </c>
      <c r="D9" s="26" t="inlineStr">
        <is>
          <t>⏳ PENDING</t>
        </is>
      </c>
      <c r="E9" s="25" t="inlineStr"/>
    </row>
    <row r="10" ht="28" customHeight="1">
      <c r="A10" s="12" t="n">
        <v>6</v>
      </c>
      <c r="B10" s="27" t="inlineStr">
        <is>
          <t>Table Health AG Grid loads</t>
        </is>
      </c>
      <c r="C10" s="28" t="inlineStr">
        <is>
          <t>Shows table name, live rows, dead %, size</t>
        </is>
      </c>
      <c r="D10" s="26" t="inlineStr">
        <is>
          <t>⏳ PENDING</t>
        </is>
      </c>
      <c r="E10" s="28" t="inlineStr"/>
    </row>
    <row r="11" ht="28" customHeight="1">
      <c r="A11" s="5" t="n">
        <v>7</v>
      </c>
      <c r="B11" s="24" t="inlineStr">
        <is>
          <t>Cache hit rate gauge renders</t>
        </is>
      </c>
      <c r="C11" s="25" t="inlineStr">
        <is>
          <t>RadialBarChart visible</t>
        </is>
      </c>
      <c r="D11" s="26" t="inlineStr">
        <is>
          <t>⏳ PENDING</t>
        </is>
      </c>
      <c r="E11" s="25" t="inlineStr"/>
    </row>
    <row r="12" ht="28" customHeight="1">
      <c r="A12" s="12" t="n">
        <v>8</v>
      </c>
      <c r="B12" s="27" t="inlineStr">
        <is>
          <t>Unused Indexes grid loads</t>
        </is>
      </c>
      <c r="C12" s="28" t="inlineStr">
        <is>
          <t>Shows index name, scans, size</t>
        </is>
      </c>
      <c r="D12" s="26" t="inlineStr">
        <is>
          <t>⏳ PENDING</t>
        </is>
      </c>
      <c r="E12" s="28" t="inlineStr"/>
    </row>
    <row r="13" ht="28" customHeight="1">
      <c r="A13" s="5" t="n">
        <v>9</v>
      </c>
      <c r="B13" s="24" t="inlineStr">
        <is>
          <t>Refresh button works</t>
        </is>
      </c>
      <c r="C13" s="25" t="inlineStr">
        <is>
          <t>Data reloads on click</t>
        </is>
      </c>
      <c r="D13" s="26" t="inlineStr">
        <is>
          <t>⏳ PENDING</t>
        </is>
      </c>
      <c r="E13" s="25" t="inlineStr"/>
    </row>
    <row r="14" ht="20" customHeight="1">
      <c r="A14" s="4" t="inlineStr">
        <is>
          <t>SUMMARY</t>
        </is>
      </c>
      <c r="D14" s="29">
        <f>COUNTIF(D5:D13,"✅ PASS")&amp;" / "&amp;COUNTA(D5:D13)&amp;" passed"</f>
        <v/>
      </c>
      <c r="E14" s="21" t="inlineStr"/>
    </row>
  </sheetData>
  <mergeCells count="4">
    <mergeCell ref="A2:E2"/>
    <mergeCell ref="A1:E1"/>
    <mergeCell ref="A14:C14"/>
    <mergeCell ref="A3:E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14" customWidth="1" min="4" max="4"/>
    <col width="35" customWidth="1" min="5" max="5"/>
  </cols>
  <sheetData>
    <row r="1" ht="32" customHeight="1">
      <c r="A1" s="22" t="inlineStr">
        <is>
          <t>ONOBASE — Feature 20 — Keyboard Shortcuts</t>
        </is>
      </c>
    </row>
    <row r="2" ht="16" customHeight="1">
      <c r="A2" s="23" t="inlineStr">
        <is>
          <t>Mark Result column: ✅ PASS  ❌ FAIL  ⏳ PENDING  |  Add notes in Notes column</t>
        </is>
      </c>
    </row>
    <row r="3" ht="6" customHeight="1">
      <c r="A3" s="3" t="n"/>
    </row>
    <row r="4" ht="20" customHeight="1">
      <c r="A4" s="4" t="inlineStr">
        <is>
          <t>#</t>
        </is>
      </c>
      <c r="B4" s="4" t="inlineStr">
        <is>
          <t>Test Description</t>
        </is>
      </c>
      <c r="C4" s="4" t="inlineStr">
        <is>
          <t>How to Test</t>
        </is>
      </c>
      <c r="D4" s="4" t="inlineStr">
        <is>
          <t>Result</t>
        </is>
      </c>
      <c r="E4" s="4" t="inlineStr">
        <is>
          <t>Notes / Bug Details</t>
        </is>
      </c>
    </row>
    <row r="5" ht="28" customHeight="1">
      <c r="A5" s="5" t="n">
        <v>1</v>
      </c>
      <c r="B5" s="24" t="inlineStr">
        <is>
          <t>Settings → Keyboard Shortcuts section visible</t>
        </is>
      </c>
      <c r="C5" s="25" t="inlineStr">
        <is>
          <t>Section present in Settings</t>
        </is>
      </c>
      <c r="D5" s="26" t="inlineStr">
        <is>
          <t>⏳ PENDING</t>
        </is>
      </c>
      <c r="E5" s="25" t="inlineStr"/>
    </row>
    <row r="6" ht="28" customHeight="1">
      <c r="A6" s="12" t="n">
        <v>2</v>
      </c>
      <c r="B6" s="27" t="inlineStr">
        <is>
          <t>Query Editor category shown</t>
        </is>
      </c>
      <c r="C6" s="28" t="inlineStr">
        <is>
          <t>Section with query shortcuts</t>
        </is>
      </c>
      <c r="D6" s="26" t="inlineStr">
        <is>
          <t>⏳ PENDING</t>
        </is>
      </c>
      <c r="E6" s="28" t="inlineStr"/>
    </row>
    <row r="7" ht="28" customHeight="1">
      <c r="A7" s="5" t="n">
        <v>3</v>
      </c>
      <c r="B7" s="24" t="inlineStr">
        <is>
          <t>Application category shown</t>
        </is>
      </c>
      <c r="C7" s="25" t="inlineStr">
        <is>
          <t>Section with app shortcuts</t>
        </is>
      </c>
      <c r="D7" s="26" t="inlineStr">
        <is>
          <t>⏳ PENDING</t>
        </is>
      </c>
      <c r="E7" s="25" t="inlineStr"/>
    </row>
    <row r="8" ht="28" customHeight="1">
      <c r="A8" s="12" t="n">
        <v>4</v>
      </c>
      <c r="B8" s="27" t="inlineStr">
        <is>
          <t>Canvas category shown</t>
        </is>
      </c>
      <c r="C8" s="28" t="inlineStr">
        <is>
          <t>Section with canvas shortcuts</t>
        </is>
      </c>
      <c r="D8" s="26" t="inlineStr">
        <is>
          <t>⏳ PENDING</t>
        </is>
      </c>
      <c r="E8" s="28" t="inlineStr"/>
    </row>
    <row r="9" ht="28" customHeight="1">
      <c r="A9" s="5" t="n">
        <v>5</v>
      </c>
      <c r="B9" s="24" t="inlineStr">
        <is>
          <t>Key badges styled correctly</t>
        </is>
      </c>
      <c r="C9" s="25" t="inlineStr">
        <is>
          <t>Keys shown as pill/badge style</t>
        </is>
      </c>
      <c r="D9" s="26" t="inlineStr">
        <is>
          <t>⏳ PENDING</t>
        </is>
      </c>
      <c r="E9" s="25" t="inlineStr"/>
    </row>
    <row r="10" ht="28" customHeight="1">
      <c r="A10" s="12" t="n">
        <v>6</v>
      </c>
      <c r="B10" s="27" t="inlineStr">
        <is>
          <t>Ctrl+Enter runs query</t>
        </is>
      </c>
      <c r="C10" s="28" t="inlineStr">
        <is>
          <t>Actually works in query editor</t>
        </is>
      </c>
      <c r="D10" s="26" t="inlineStr">
        <is>
          <t>⏳ PENDING</t>
        </is>
      </c>
      <c r="E10" s="28" t="inlineStr"/>
    </row>
    <row r="11" ht="28" customHeight="1">
      <c r="A11" s="5" t="n">
        <v>7</v>
      </c>
      <c r="B11" s="24" t="inlineStr">
        <is>
          <t>Ctrl+N opens new query tab</t>
        </is>
      </c>
      <c r="C11" s="25" t="inlineStr">
        <is>
          <t>Actually works</t>
        </is>
      </c>
      <c r="D11" s="26" t="inlineStr">
        <is>
          <t>⏳ PENDING</t>
        </is>
      </c>
      <c r="E11" s="25" t="inlineStr"/>
    </row>
    <row r="12" ht="28" customHeight="1">
      <c r="A12" s="12" t="n">
        <v>8</v>
      </c>
      <c r="B12" s="27" t="inlineStr">
        <is>
          <t>Ctrl+W closes current tab</t>
        </is>
      </c>
      <c r="C12" s="28" t="inlineStr">
        <is>
          <t>Actually works</t>
        </is>
      </c>
      <c r="D12" s="26" t="inlineStr">
        <is>
          <t>⏳ PENDING</t>
        </is>
      </c>
      <c r="E12" s="28" t="inlineStr"/>
    </row>
    <row r="13" ht="20" customHeight="1">
      <c r="A13" s="4" t="inlineStr">
        <is>
          <t>SUMMARY</t>
        </is>
      </c>
      <c r="D13" s="29">
        <f>COUNTIF(D5:D12,"✅ PASS")&amp;" / "&amp;COUNTA(D5:D12)&amp;" passed"</f>
        <v/>
      </c>
      <c r="E13" s="21" t="inlineStr"/>
    </row>
  </sheetData>
  <mergeCells count="4">
    <mergeCell ref="A2:E2"/>
    <mergeCell ref="A1:E1"/>
    <mergeCell ref="A13:C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2026-03-23T12:54:58Z</dcterms:created>
  <dcterms:modified xmlns:dcterms="http://purl.org/dc/terms/" xmlns:xsi="http://www.w3.org/2001/XMLSchema-instance" xsi:type="dcterms:W3CDTF">2026-03-23T12:54:58Z</dcterms:modified>
</cp:coreProperties>
</file>